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ystem Data" sheetId="1" r:id="rId1"/>
    <sheet name="_BI_Export" sheetId="2" state="hidden" r:id="rId2"/>
    <sheet name="Início" sheetId="3" r:id="rId3"/>
    <sheet name="Laudo de Crédito" sheetId="4" r:id="rId4"/>
    <sheet name="Educação Financeira" sheetId="5" r:id="rId5"/>
    <sheet name="Fluxo Mensal" sheetId="6" r:id="rId6"/>
    <sheet name="Kanban" sheetId="7" state="hidden" r:id="rId7"/>
  </sheets>
  <calcPr calcId="124519" fullCalcOnLoad="1"/>
</workbook>
</file>

<file path=xl/sharedStrings.xml><?xml version="1.0" encoding="utf-8"?>
<sst xmlns="http://schemas.openxmlformats.org/spreadsheetml/2006/main" count="276" uniqueCount="188">
  <si>
    <t>💡 IMPORTANTE: Esta tabela (Table_Empreendimentos) é a fonte de dados primária. Use "Atualizar Tudo" se conectada a fontes externas.</t>
  </si>
  <si>
    <t>ID</t>
  </si>
  <si>
    <t>Nome</t>
  </si>
  <si>
    <t>Preço</t>
  </si>
  <si>
    <t>Área</t>
  </si>
  <si>
    <t>Quartos</t>
  </si>
  <si>
    <t>Bairro</t>
  </si>
  <si>
    <t>Entrega</t>
  </si>
  <si>
    <t>Diferenciais</t>
  </si>
  <si>
    <t>Lazer</t>
  </si>
  <si>
    <t>Imagem_URL</t>
  </si>
  <si>
    <t>Vivaz Penha 2</t>
  </si>
  <si>
    <t>De 24m² a 38m²</t>
  </si>
  <si>
    <t>1 a 2</t>
  </si>
  <si>
    <t>Penha (Zona Leste)</t>
  </si>
  <si>
    <t>205mil</t>
  </si>
  <si>
    <t>Vivaz Freguesia do Ó</t>
  </si>
  <si>
    <t>De 24m² a 45m²</t>
  </si>
  <si>
    <t>Freguesia (Zona Norte)</t>
  </si>
  <si>
    <t>226mil</t>
  </si>
  <si>
    <t>Vivaz Santo Amaro</t>
  </si>
  <si>
    <t>De 24m² a 40m²</t>
  </si>
  <si>
    <t>2 a 2</t>
  </si>
  <si>
    <t>Santo Amaro (Zona Sul)</t>
  </si>
  <si>
    <t>218mil</t>
  </si>
  <si>
    <t>Vivaz Estação Lapa</t>
  </si>
  <si>
    <t>De 24m² a 36m²</t>
  </si>
  <si>
    <t>Lapa (Zona Oeste)</t>
  </si>
  <si>
    <t>214mil</t>
  </si>
  <si>
    <t>Grand Vivaz Penha</t>
  </si>
  <si>
    <t>235mil</t>
  </si>
  <si>
    <t>Grand Vivaz Estação Tamanduateí</t>
  </si>
  <si>
    <t>Vila Prudente</t>
  </si>
  <si>
    <t>217mil</t>
  </si>
  <si>
    <t>Grand Vivaz Jardim França Paris</t>
  </si>
  <si>
    <t>Jardim França</t>
  </si>
  <si>
    <t>224mil</t>
  </si>
  <si>
    <t>Vivaz Selection Santo Amaro</t>
  </si>
  <si>
    <t>Santo Amaro</t>
  </si>
  <si>
    <t>Vivaz Selection Laguna</t>
  </si>
  <si>
    <t>Granja Julieta</t>
  </si>
  <si>
    <t>Vivaz Estação Pirituba</t>
  </si>
  <si>
    <t>Pirituba</t>
  </si>
  <si>
    <t>Vivaz Parque João Dias</t>
  </si>
  <si>
    <t>Vivaz Connection 
Adolfo Pinheiro</t>
  </si>
  <si>
    <t>244mil</t>
  </si>
  <si>
    <t>Vivaz Parque Freguesia do Ó (1, 2 e 3)</t>
  </si>
  <si>
    <t>Freguesia do Ó</t>
  </si>
  <si>
    <t>Vivaz Santa Marina</t>
  </si>
  <si>
    <t>De 31m² a 34m²</t>
  </si>
  <si>
    <t>2</t>
  </si>
  <si>
    <t>Água Branca</t>
  </si>
  <si>
    <t>306mil</t>
  </si>
  <si>
    <t>Vivaz Penha - Fase 3</t>
  </si>
  <si>
    <t>Penha</t>
  </si>
  <si>
    <t>Vivaz Connection Mooca</t>
  </si>
  <si>
    <t>24m²</t>
  </si>
  <si>
    <t>Mooca</t>
  </si>
  <si>
    <t>239mil</t>
  </si>
  <si>
    <t>Vivaz Prime Voluntários da Pátria</t>
  </si>
  <si>
    <t>De 46m² a 61m²</t>
  </si>
  <si>
    <t>2 a 3</t>
  </si>
  <si>
    <t>Santana</t>
  </si>
  <si>
    <t>523mil</t>
  </si>
  <si>
    <t>Vivaz Estação Pirituba (1 e 2)</t>
  </si>
  <si>
    <t>209mil</t>
  </si>
  <si>
    <t>Vivaz Prime Vila Maria</t>
  </si>
  <si>
    <t>55m²</t>
  </si>
  <si>
    <t>Vila Maria</t>
  </si>
  <si>
    <t>525mil</t>
  </si>
  <si>
    <t>Vivaz Prime Vila Prudente</t>
  </si>
  <si>
    <t>De 48m² a 56m²</t>
  </si>
  <si>
    <t>537mil</t>
  </si>
  <si>
    <t>Parâmetros Internos</t>
  </si>
  <si>
    <t>Renda_Base</t>
  </si>
  <si>
    <t>FGTS_Base</t>
  </si>
  <si>
    <t>Entrada_Base</t>
  </si>
  <si>
    <t>Prazo_Meses</t>
  </si>
  <si>
    <t>Data_Extracao</t>
  </si>
  <si>
    <t>ID_Simulacao</t>
  </si>
  <si>
    <t>Cliente_Renda</t>
  </si>
  <si>
    <t>Cliente_FGTS</t>
  </si>
  <si>
    <t>Cliente_PoderCompra</t>
  </si>
  <si>
    <t>Imovel_Nome</t>
  </si>
  <si>
    <t>VLR_Parcela</t>
  </si>
  <si>
    <t>SIM-0001</t>
  </si>
  <si>
    <t>PORTAL MT PARCEIROS</t>
  </si>
  <si>
    <t>MT PARCEIROS</t>
  </si>
  <si>
    <t>BEM-VINDO À SUA ANÁLISE PERSONALIZADA</t>
  </si>
  <si>
    <t>🤖 Esta ferramenta utiliza Inteligência Artificial para calcular seu potencial de compra imobiliária.</t>
  </si>
  <si>
    <t>ESTA ANÁLISE FOI PREPARADA COM TECNOLOGIA MT PARCEIROS
Cálculos baseados nas regras oficiais da CAIXA (2025)</t>
  </si>
  <si>
    <t>COMO COMEÇAR:</t>
  </si>
  <si>
    <t>1. Digite seu nome abaixo para personalizar o relatório.</t>
  </si>
  <si>
    <t>2. Vá para as abas de análise para conferir seu potencial.</t>
  </si>
  <si>
    <t>SEU NOME:</t>
  </si>
  <si>
    <t>Digite seu nome aqui...</t>
  </si>
  <si>
    <t>INICIAR SIMULAÇÃO ▶</t>
  </si>
  <si>
    <t>⚠️ Valores estimados para fins de consultoria. MT Parceiros | (11) 96036-4355</t>
  </si>
  <si>
    <t>MENSAIS DA ENTRADA</t>
  </si>
  <si>
    <t>36x (Parcelas)</t>
  </si>
  <si>
    <t>EVOLUÇÃO OBRA</t>
  </si>
  <si>
    <t>Média mensal</t>
  </si>
  <si>
    <t>PARCELA FINANCIAMENTO</t>
  </si>
  <si>
    <t>Após a entrega (até 35 anos)</t>
  </si>
  <si>
    <t>Documentação Necessária</t>
  </si>
  <si>
    <t>Separe estes documentos para acelerar sua aprovação com a Caixa:</t>
  </si>
  <si>
    <t>RG e CPF</t>
  </si>
  <si>
    <t>Certidão de Estado Civil</t>
  </si>
  <si>
    <t>Comprovante de Renda (3 meses)</t>
  </si>
  <si>
    <t>Comprovante de Residência</t>
  </si>
  <si>
    <t>Extrato FGTS</t>
  </si>
  <si>
    <t>Declaração IRPF</t>
  </si>
  <si>
    <t>💬 Iniciar Atendimento</t>
  </si>
  <si>
    <t>🤖 Simulação gerada por Algoritmo de IA MT Parceiros  •  Gerado em 27/02/2026 • © MT Parceiros</t>
  </si>
  <si>
    <t>📍 mtparceiros@gmail.com | 📞 (11) 96036-4355 | 🌐 mtparceiros-alt.github.io/site-mt</t>
  </si>
  <si>
    <t>📊 ANÁLISE EXECUTIVA (Algoritmo IA)</t>
  </si>
  <si>
    <t>Laudo de Crédito</t>
  </si>
  <si>
    <t>Esta análise foi gerada por algoritmo proprietário MT Parceiros, com base nos parâmetros reais da CAIXA e regras MCMV 2025.</t>
  </si>
  <si>
    <t>JORNADA:</t>
  </si>
  <si>
    <t>Simulação</t>
  </si>
  <si>
    <t>Contrato</t>
  </si>
  <si>
    <t xml:space="preserve">  RENDA FAMILIAR</t>
  </si>
  <si>
    <t xml:space="preserve">  CRÉDITO CAIXA MAX</t>
  </si>
  <si>
    <t xml:space="preserve">  SUBSÍDIO ESTIMADO</t>
  </si>
  <si>
    <t xml:space="preserve">  SALDO FGTS</t>
  </si>
  <si>
    <t xml:space="preserve">  PODER DE COMPRA TOTAL</t>
  </si>
  <si>
    <t xml:space="preserve">  PARCELA PROJETADA</t>
  </si>
  <si>
    <t xml:space="preserve">  COMPROMETIMENTO</t>
  </si>
  <si>
    <t>Status da Análise:</t>
  </si>
  <si>
    <t>SEU SCORE MT PARCEIROS</t>
  </si>
  <si>
    <t>1. ANÁLISE DE COMPOSIÇÃO DE COMPRA</t>
  </si>
  <si>
    <t>Financiamento</t>
  </si>
  <si>
    <t>Subsídio Gov.</t>
  </si>
  <si>
    <t>FGTS + Próprios</t>
  </si>
  <si>
    <t>2. RISCO E SAÚDE FINANCEIRA</t>
  </si>
  <si>
    <t>Comprometimento:</t>
  </si>
  <si>
    <t>Margem de Segurança:</t>
  </si>
  <si>
    <t>🧠 SIMULADOR INTELIGENTE (Algoritmo Oficial)</t>
  </si>
  <si>
    <t>Educação Financeira</t>
  </si>
  <si>
    <t>IMÓVEL SELECIONADO:</t>
  </si>
  <si>
    <t>Selecione um Imóvel...</t>
  </si>
  <si>
    <t>NOME DO CLIENTE:</t>
  </si>
  <si>
    <t>Nosso algoritmo aplica as regras oficiais da CAIXA para calcular seu crédito máximo e subsídio MCMV.</t>
  </si>
  <si>
    <t>1. DADOS DE ENTRADA (Sua Renda)</t>
  </si>
  <si>
    <t>Renda Bruta Familiar:</t>
  </si>
  <si>
    <t>2. COMPROMETIMENTO (Despesas)</t>
  </si>
  <si>
    <t>Aluguel Atual</t>
  </si>
  <si>
    <t>Alimentação</t>
  </si>
  <si>
    <t>Transporte</t>
  </si>
  <si>
    <t>Outros</t>
  </si>
  <si>
    <t>TOTAL DESPESAS:</t>
  </si>
  <si>
    <t>SALDO FGTS:</t>
  </si>
  <si>
    <t>TEM CARTEIRA (3+ ANOS)?</t>
  </si>
  <si>
    <t>SIM</t>
  </si>
  <si>
    <t>3. ANÁLISE DO FINANCIAMENTO (MCMV)</t>
  </si>
  <si>
    <t>Seu Crédito CAIXA (Max):</t>
  </si>
  <si>
    <t>Subsídio MCMV Estimado:</t>
  </si>
  <si>
    <t>PODER DE COMPRA TOTAL:</t>
  </si>
  <si>
    <t>PARCELA PROJETADA (Fixa):</t>
  </si>
  <si>
    <t>📅 PROJEÇÃO FINANCEIRA REAL E CONTROLE</t>
  </si>
  <si>
    <t>Fluxo Acumulado e Tracker de Aportes</t>
  </si>
  <si>
    <t>💰 TOTAL APORTADO (Real)</t>
  </si>
  <si>
    <t>⏳ SALDO DEVEDOR (Restante)</t>
  </si>
  <si>
    <t>✅ Pago?</t>
  </si>
  <si>
    <t>Mês / Ano</t>
  </si>
  <si>
    <t>Aporte Mensal</t>
  </si>
  <si>
    <t>Extra (Throughput)</t>
  </si>
  <si>
    <t>Saldo Acumulado</t>
  </si>
  <si>
    <t>Referência Meta</t>
  </si>
  <si>
    <t>Status</t>
  </si>
  <si>
    <t>Não</t>
  </si>
  <si>
    <t>GESTÃO DE CLIENTE - BOARD KANBAN</t>
  </si>
  <si>
    <t>Tarefa / Documento</t>
  </si>
  <si>
    <t>Responsável</t>
  </si>
  <si>
    <t>Concluído?</t>
  </si>
  <si>
    <t>📅 Prazo</t>
  </si>
  <si>
    <t>Obs</t>
  </si>
  <si>
    <t>1. RG e CPF do Cliente</t>
  </si>
  <si>
    <t>Cliente</t>
  </si>
  <si>
    <t>2. Certidão Estado Civil</t>
  </si>
  <si>
    <t>3. Comprovantes de Renda</t>
  </si>
  <si>
    <t>4. Comprovante Residência</t>
  </si>
  <si>
    <t>5. Extrato FGTS</t>
  </si>
  <si>
    <t>6. Declaração IRPF</t>
  </si>
  <si>
    <t>7. Formulário CAIXA</t>
  </si>
  <si>
    <t>Corretor</t>
  </si>
  <si>
    <t>8. Protocolo CEV</t>
  </si>
  <si>
    <t>Correspondente</t>
  </si>
</sst>
</file>

<file path=xl/styles.xml><?xml version="1.0" encoding="utf-8"?>
<styleSheet xmlns="http://schemas.openxmlformats.org/spreadsheetml/2006/main">
  <numFmts count="3">
    <numFmt numFmtId="164" formatCode="R$ #,##0.00"/>
    <numFmt numFmtId="165" formatCode="0%"/>
    <numFmt numFmtId="166" formatCode="mmm/yy"/>
  </numFmts>
  <fonts count="37">
    <font>
      <sz val="11"/>
      <color theme="1"/>
      <name val="Calibri"/>
      <family val="2"/>
      <scheme val="minor"/>
    </font>
    <font>
      <sz val="10"/>
      <color rgb="FF7A7A7A"/>
      <name val="Poppins"/>
      <family val="2"/>
    </font>
    <font>
      <sz val="10"/>
      <color theme="1"/>
      <name val="Poppins"/>
      <family val="2"/>
    </font>
    <font>
      <b/>
      <sz val="14"/>
      <color rgb="FF7A7A7A"/>
      <name val="Poppins"/>
      <family val="2"/>
    </font>
    <font>
      <b/>
      <sz val="11"/>
      <color rgb="FF1A1A2E"/>
      <name val="Poppins"/>
      <family val="2"/>
    </font>
    <font>
      <b/>
      <sz val="11"/>
      <color rgb="FFFFFFFF"/>
      <name val="Poppins"/>
      <family val="2"/>
    </font>
    <font>
      <b/>
      <sz val="32"/>
      <color rgb="FFF35525"/>
      <name val="Poppins"/>
      <family val="2"/>
    </font>
    <font>
      <b/>
      <sz val="24"/>
      <color rgb="FF1A1A2E"/>
      <name val="Poppins"/>
      <family val="2"/>
    </font>
    <font>
      <b/>
      <sz val="12"/>
      <color rgb="FF1A1A2E"/>
      <name val="Poppins"/>
      <family val="2"/>
    </font>
    <font>
      <b/>
      <sz val="16"/>
      <color rgb="FF1A1A2E"/>
      <name val="Poppins"/>
      <family val="2"/>
    </font>
    <font>
      <b/>
      <sz val="14"/>
      <color rgb="FFFFFFFF"/>
      <name val="Poppins"/>
      <family val="2"/>
    </font>
    <font>
      <sz val="10"/>
      <color rgb="FF1A1A2E"/>
      <name val="Poppins"/>
      <family val="2"/>
    </font>
    <font>
      <b/>
      <sz val="10"/>
      <color rgb="FFFFFFFF"/>
      <name val="Poppins"/>
      <family val="2"/>
    </font>
    <font>
      <b/>
      <sz val="22"/>
      <color rgb="FFF35525"/>
      <name val="Poppins"/>
      <family val="2"/>
    </font>
    <font>
      <b/>
      <sz val="22"/>
      <color rgb="FF1A1A2E"/>
      <name val="Poppins"/>
      <family val="2"/>
    </font>
    <font>
      <b/>
      <sz val="22"/>
      <color rgb="FF27AE60"/>
      <name val="Poppins"/>
      <family val="2"/>
    </font>
    <font>
      <b/>
      <sz val="14"/>
      <color rgb="FFF35525"/>
      <name val="Poppins"/>
      <family val="2"/>
    </font>
    <font>
      <b/>
      <sz val="11"/>
      <color theme="1"/>
      <name val="Poppins"/>
      <family val="2"/>
    </font>
    <font>
      <sz val="8"/>
      <color rgb="FF7A7A7A"/>
      <name val="Poppins"/>
      <family val="2"/>
    </font>
    <font>
      <sz val="9"/>
      <color rgb="FF7A7A7A"/>
      <name val="Poppins"/>
      <family val="2"/>
    </font>
    <font>
      <b/>
      <sz val="11"/>
      <color rgb="FFF35525"/>
      <name val="Poppins"/>
      <family val="2"/>
    </font>
    <font>
      <b/>
      <sz val="8"/>
      <color rgb="FFFFFFFF"/>
      <name val="Poppins"/>
      <family val="2"/>
    </font>
    <font>
      <i/>
      <sz val="9"/>
      <color rgb="FF7A7A7A"/>
      <name val="Poppins"/>
      <family val="2"/>
    </font>
    <font>
      <b/>
      <sz val="12"/>
      <color rgb="FFF35525"/>
      <name val="Poppins"/>
      <family val="2"/>
    </font>
    <font>
      <b/>
      <sz val="18"/>
      <color rgb="FF1A1A2E"/>
      <name val="Poppins"/>
      <family val="2"/>
    </font>
    <font>
      <b/>
      <sz val="18"/>
      <color rgb="FFF35525"/>
      <name val="Poppins"/>
      <family val="2"/>
    </font>
    <font>
      <b/>
      <sz val="12"/>
      <color theme="1"/>
      <name val="Poppins"/>
      <family val="2"/>
    </font>
    <font>
      <b/>
      <sz val="36"/>
      <color rgb="FFF35525"/>
      <name val="Poppins"/>
      <family val="2"/>
    </font>
    <font>
      <sz val="12"/>
      <color theme="1"/>
      <name val="Poppins"/>
      <family val="2"/>
    </font>
    <font>
      <sz val="12"/>
      <color rgb="FFE74C3C"/>
      <name val="Poppins"/>
      <family val="2"/>
    </font>
    <font>
      <sz val="12"/>
      <color rgb="FFF35525"/>
      <name val="Poppins"/>
      <family val="2"/>
    </font>
    <font>
      <sz val="12"/>
      <color rgb="FF27AE60"/>
      <name val="Poppins"/>
      <family val="2"/>
    </font>
    <font>
      <b/>
      <sz val="16"/>
      <color rgb="FFF35525"/>
      <name val="Poppins"/>
      <family val="2"/>
    </font>
    <font>
      <b/>
      <sz val="11"/>
      <color rgb="FF7A7A7A"/>
      <name val="Poppins"/>
      <family val="2"/>
    </font>
    <font>
      <b/>
      <sz val="16"/>
      <color rgb="FF27AE60"/>
      <name val="Poppins"/>
      <family val="2"/>
    </font>
    <font>
      <sz val="11"/>
      <color theme="1"/>
      <name val="Poppins"/>
      <family val="2"/>
    </font>
    <font>
      <b/>
      <sz val="10"/>
      <color theme="1"/>
      <name val="Poppins"/>
      <family val="2"/>
    </font>
  </fonts>
  <fills count="10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1A1A2E"/>
        <bgColor indexed="64"/>
      </patternFill>
    </fill>
    <fill>
      <patternFill patternType="solid">
        <fgColor rgb="FFF4F5F7"/>
        <bgColor indexed="64"/>
      </patternFill>
    </fill>
    <fill>
      <patternFill patternType="solid">
        <fgColor rgb="FFF35525"/>
        <bgColor indexed="64"/>
      </patternFill>
    </fill>
    <fill>
      <patternFill patternType="solid">
        <fgColor rgb="FF27AE60"/>
        <bgColor indexed="64"/>
      </patternFill>
    </fill>
    <fill>
      <patternFill patternType="solid">
        <fgColor rgb="FF25D366"/>
        <bgColor indexed="64"/>
      </patternFill>
    </fill>
    <fill>
      <patternFill patternType="solid">
        <fgColor rgb="FFF8FAFC"/>
        <bgColor indexed="64"/>
      </patternFill>
    </fill>
    <fill>
      <patternFill patternType="solid">
        <fgColor rgb="FFFFF8F6"/>
        <bgColor indexed="64"/>
      </patternFill>
    </fill>
  </fills>
  <borders count="20">
    <border>
      <left/>
      <right/>
      <top/>
      <bottom/>
      <diagonal/>
    </border>
    <border>
      <left style="thin">
        <color rgb="FFEEEEEE"/>
      </left>
      <right style="thin">
        <color rgb="FFEEEEEE"/>
      </right>
      <top style="thin">
        <color rgb="FFEEEEEE"/>
      </top>
      <bottom style="thin">
        <color rgb="FFEEEEEE"/>
      </bottom>
      <diagonal/>
    </border>
    <border>
      <left style="thin">
        <color rgb="FF1A1A2E"/>
      </left>
      <right style="thin">
        <color rgb="FF1A1A2E"/>
      </right>
      <top style="thin">
        <color rgb="FF1A1A2E"/>
      </top>
      <bottom style="thin">
        <color rgb="FF1A1A2E"/>
      </bottom>
      <diagonal/>
    </border>
    <border>
      <left style="medium">
        <color rgb="FFF35525"/>
      </left>
      <right style="medium">
        <color rgb="FFF35525"/>
      </right>
      <top style="medium">
        <color rgb="FFF35525"/>
      </top>
      <bottom style="medium">
        <color rgb="FFF35525"/>
      </bottom>
      <diagonal/>
    </border>
    <border>
      <left style="thin">
        <color rgb="FFF35525"/>
      </left>
      <right style="thin">
        <color rgb="FFF35525"/>
      </right>
      <top style="thin">
        <color rgb="FFF35525"/>
      </top>
      <bottom style="thin">
        <color rgb="FFF35525"/>
      </bottom>
      <diagonal/>
    </border>
    <border>
      <left style="thin">
        <color rgb="FFF35525"/>
      </left>
      <right style="thin">
        <color rgb="FFF35525"/>
      </right>
      <top style="thin">
        <color rgb="FFF35525"/>
      </top>
      <bottom/>
      <diagonal/>
    </border>
    <border>
      <left style="thin">
        <color rgb="FF1A1A2E"/>
      </left>
      <right style="thin">
        <color rgb="FF1A1A2E"/>
      </right>
      <top style="thin">
        <color rgb="FF1A1A2E"/>
      </top>
      <bottom/>
      <diagonal/>
    </border>
    <border>
      <left style="thin">
        <color rgb="FF27AE60"/>
      </left>
      <right style="thin">
        <color rgb="FF27AE60"/>
      </right>
      <top style="thin">
        <color rgb="FF27AE60"/>
      </top>
      <bottom/>
      <diagonal/>
    </border>
    <border>
      <left style="thin">
        <color rgb="FFEEEEEE"/>
      </left>
      <right style="thin">
        <color rgb="FFEEEEEE"/>
      </right>
      <top/>
      <bottom/>
      <diagonal/>
    </border>
    <border>
      <left style="thin">
        <color rgb="FFEEEEEE"/>
      </left>
      <right style="thin">
        <color rgb="FFEEEEEE"/>
      </right>
      <top/>
      <bottom style="thin">
        <color rgb="FFEEEEEE"/>
      </bottom>
      <diagonal/>
    </border>
    <border>
      <left style="thin">
        <color rgb="FF25D366"/>
      </left>
      <right style="thin">
        <color rgb="FF25D366"/>
      </right>
      <top style="thin">
        <color rgb="FF25D366"/>
      </top>
      <bottom style="thin">
        <color rgb="FF25D366"/>
      </bottom>
      <diagonal/>
    </border>
    <border>
      <left/>
      <right/>
      <top style="thin">
        <color rgb="FFEEEEEE"/>
      </top>
      <bottom/>
      <diagonal/>
    </border>
    <border>
      <left/>
      <right/>
      <top/>
      <bottom style="thin">
        <color rgb="FFEEEEEE"/>
      </bottom>
      <diagonal/>
    </border>
    <border>
      <left/>
      <right/>
      <top/>
      <bottom style="dashed">
        <color rgb="FFF35525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thick">
        <color rgb="FFEEEEEE"/>
      </left>
      <right/>
      <top style="thin">
        <color rgb="FFEEEEEE"/>
      </top>
      <bottom style="thin">
        <color rgb="FFEEEEEE"/>
      </bottom>
      <diagonal/>
    </border>
    <border>
      <left/>
      <right style="thin">
        <color rgb="FFEEEEEE"/>
      </right>
      <top style="thin">
        <color rgb="FFEEEEEE"/>
      </top>
      <bottom/>
      <diagonal/>
    </border>
    <border>
      <left/>
      <right style="thin">
        <color rgb="FFEEEEEE"/>
      </right>
      <top/>
      <bottom style="thin">
        <color rgb="FFEEEEEE"/>
      </bottom>
      <diagonal/>
    </border>
    <border>
      <left style="medium">
        <color rgb="FFEEEEEE"/>
      </left>
      <right style="medium">
        <color rgb="FFEEEEEE"/>
      </right>
      <top style="medium">
        <color rgb="FFEEEEEE"/>
      </top>
      <bottom style="medium">
        <color rgb="FFEEEEEE"/>
      </bottom>
      <diagonal/>
    </border>
    <border>
      <left style="medium">
        <color rgb="FF27AE60"/>
      </left>
      <right style="medium">
        <color rgb="FF27AE60"/>
      </right>
      <top style="medium">
        <color rgb="FF27AE60"/>
      </top>
      <bottom style="medium">
        <color rgb="FF27AE60"/>
      </bottom>
      <diagonal/>
    </border>
  </borders>
  <cellStyleXfs count="1">
    <xf numFmtId="0" fontId="0" fillId="0" borderId="0"/>
  </cellStyleXfs>
  <cellXfs count="61">
    <xf numFmtId="0" fontId="0" fillId="0" borderId="0" xfId="0"/>
    <xf numFmtId="0" fontId="1" fillId="0" borderId="0" xfId="0" applyFont="1"/>
    <xf numFmtId="164" fontId="2" fillId="0" borderId="1" xfId="0" applyNumberFormat="1" applyFont="1" applyBorder="1" applyAlignment="1">
      <alignment horizontal="right" vertical="center"/>
    </xf>
    <xf numFmtId="0" fontId="3" fillId="0" borderId="0" xfId="0" applyFont="1"/>
    <xf numFmtId="0" fontId="4" fillId="2" borderId="0" xfId="0" applyFont="1" applyFill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0" fillId="4" borderId="0" xfId="0" applyFill="1"/>
    <xf numFmtId="0" fontId="6" fillId="0" borderId="0" xfId="0" applyFont="1" applyAlignment="1">
      <alignment horizontal="center" vertical="center"/>
    </xf>
    <xf numFmtId="0" fontId="7" fillId="0" borderId="0" xfId="0" applyFont="1"/>
    <xf numFmtId="0" fontId="8" fillId="2" borderId="3" xfId="0" applyFont="1" applyFill="1" applyBorder="1" applyAlignment="1">
      <alignment horizontal="center" vertical="center" wrapText="1"/>
    </xf>
    <xf numFmtId="0" fontId="9" fillId="2" borderId="4" xfId="0" applyFont="1" applyFill="1" applyBorder="1" applyAlignment="1" applyProtection="1">
      <alignment horizontal="center" vertical="center"/>
      <protection locked="0"/>
    </xf>
    <xf numFmtId="0" fontId="10" fillId="3" borderId="2" xfId="0" applyFont="1" applyFill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2" fillId="5" borderId="5" xfId="0" applyFont="1" applyFill="1" applyBorder="1" applyAlignment="1">
      <alignment horizontal="center" vertical="center"/>
    </xf>
    <xf numFmtId="0" fontId="12" fillId="3" borderId="6" xfId="0" applyFont="1" applyFill="1" applyBorder="1" applyAlignment="1">
      <alignment horizontal="center" vertical="center"/>
    </xf>
    <xf numFmtId="0" fontId="12" fillId="6" borderId="7" xfId="0" applyFont="1" applyFill="1" applyBorder="1" applyAlignment="1">
      <alignment horizontal="center" vertical="center"/>
    </xf>
    <xf numFmtId="164" fontId="13" fillId="2" borderId="8" xfId="0" applyNumberFormat="1" applyFont="1" applyFill="1" applyBorder="1" applyAlignment="1">
      <alignment horizontal="center" vertical="center"/>
    </xf>
    <xf numFmtId="164" fontId="14" fillId="2" borderId="8" xfId="0" applyNumberFormat="1" applyFont="1" applyFill="1" applyBorder="1" applyAlignment="1">
      <alignment horizontal="center" vertical="center"/>
    </xf>
    <xf numFmtId="164" fontId="15" fillId="2" borderId="8" xfId="0" applyNumberFormat="1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16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17" fillId="2" borderId="1" xfId="0" applyFont="1" applyFill="1" applyBorder="1" applyAlignment="1">
      <alignment horizontal="center" vertical="center" wrapText="1"/>
    </xf>
    <xf numFmtId="0" fontId="10" fillId="7" borderId="10" xfId="0" applyFont="1" applyFill="1" applyBorder="1" applyAlignment="1">
      <alignment horizontal="center" vertical="center"/>
    </xf>
    <xf numFmtId="0" fontId="18" fillId="2" borderId="11" xfId="0" applyFont="1" applyFill="1" applyBorder="1" applyAlignment="1">
      <alignment horizontal="center" vertical="center"/>
    </xf>
    <xf numFmtId="0" fontId="19" fillId="2" borderId="12" xfId="0" applyFont="1" applyFill="1" applyBorder="1" applyAlignment="1">
      <alignment horizontal="center" vertical="center"/>
    </xf>
    <xf numFmtId="0" fontId="20" fillId="2" borderId="13" xfId="0" applyFont="1" applyFill="1" applyBorder="1" applyAlignment="1">
      <alignment horizontal="center" vertical="center"/>
    </xf>
    <xf numFmtId="0" fontId="21" fillId="5" borderId="4" xfId="0" applyFont="1" applyFill="1" applyBorder="1" applyAlignment="1">
      <alignment horizontal="center" vertical="center"/>
    </xf>
    <xf numFmtId="0" fontId="18" fillId="8" borderId="14" xfId="0" applyFont="1" applyFill="1" applyBorder="1" applyAlignment="1">
      <alignment horizontal="center" vertical="center"/>
    </xf>
    <xf numFmtId="0" fontId="22" fillId="0" borderId="0" xfId="0" applyFont="1" applyAlignment="1">
      <alignment wrapText="1"/>
    </xf>
    <xf numFmtId="0" fontId="23" fillId="0" borderId="0" xfId="0" applyFont="1"/>
    <xf numFmtId="0" fontId="0" fillId="2" borderId="15" xfId="0" applyFill="1" applyBorder="1"/>
    <xf numFmtId="0" fontId="19" fillId="2" borderId="16" xfId="0" applyFont="1" applyFill="1" applyBorder="1"/>
    <xf numFmtId="164" fontId="24" fillId="2" borderId="17" xfId="0" applyNumberFormat="1" applyFont="1" applyFill="1" applyBorder="1"/>
    <xf numFmtId="164" fontId="25" fillId="2" borderId="17" xfId="0" applyNumberFormat="1" applyFont="1" applyFill="1" applyBorder="1"/>
    <xf numFmtId="165" fontId="25" fillId="2" borderId="17" xfId="0" applyNumberFormat="1" applyFont="1" applyFill="1" applyBorder="1"/>
    <xf numFmtId="0" fontId="26" fillId="0" borderId="1" xfId="0" applyFont="1" applyBorder="1" applyAlignment="1">
      <alignment horizontal="center" vertical="center"/>
    </xf>
    <xf numFmtId="0" fontId="27" fillId="3" borderId="3" xfId="0" applyFont="1" applyFill="1" applyBorder="1" applyAlignment="1">
      <alignment horizontal="center" vertical="center"/>
    </xf>
    <xf numFmtId="0" fontId="11" fillId="0" borderId="0" xfId="0" applyFont="1" applyAlignment="1">
      <alignment horizontal="right" vertical="center"/>
    </xf>
    <xf numFmtId="0" fontId="28" fillId="0" borderId="0" xfId="0" applyFont="1" applyAlignment="1">
      <alignment horizontal="left" vertical="center"/>
    </xf>
    <xf numFmtId="0" fontId="29" fillId="0" borderId="0" xfId="0" applyFont="1" applyAlignment="1">
      <alignment horizontal="left" vertical="center"/>
    </xf>
    <xf numFmtId="0" fontId="30" fillId="0" borderId="0" xfId="0" applyFont="1" applyAlignment="1">
      <alignment horizontal="left" vertical="center"/>
    </xf>
    <xf numFmtId="0" fontId="31" fillId="0" borderId="0" xfId="0" applyFont="1" applyAlignment="1">
      <alignment horizontal="left" vertical="center"/>
    </xf>
    <xf numFmtId="0" fontId="17" fillId="9" borderId="4" xfId="0" applyFont="1" applyFill="1" applyBorder="1" applyAlignment="1" applyProtection="1">
      <alignment horizontal="center"/>
      <protection locked="0"/>
    </xf>
    <xf numFmtId="164" fontId="8" fillId="2" borderId="4" xfId="0" applyNumberFormat="1" applyFont="1" applyFill="1" applyBorder="1" applyAlignment="1" applyProtection="1">
      <alignment horizontal="right"/>
      <protection locked="0"/>
    </xf>
    <xf numFmtId="164" fontId="9" fillId="0" borderId="0" xfId="0" applyNumberFormat="1" applyFont="1"/>
    <xf numFmtId="0" fontId="8" fillId="9" borderId="4" xfId="0" applyFont="1" applyFill="1" applyBorder="1" applyAlignment="1" applyProtection="1">
      <alignment horizontal="center"/>
      <protection locked="0"/>
    </xf>
    <xf numFmtId="0" fontId="26" fillId="0" borderId="18" xfId="0" applyFont="1" applyBorder="1" applyAlignment="1">
      <alignment horizontal="center" vertical="center" wrapText="1"/>
    </xf>
    <xf numFmtId="0" fontId="0" fillId="2" borderId="0" xfId="0" applyFill="1"/>
    <xf numFmtId="164" fontId="32" fillId="0" borderId="0" xfId="0" applyNumberFormat="1" applyFont="1"/>
    <xf numFmtId="0" fontId="33" fillId="0" borderId="0" xfId="0" applyFont="1" applyAlignment="1">
      <alignment horizontal="center"/>
    </xf>
    <xf numFmtId="164" fontId="34" fillId="0" borderId="19" xfId="0" applyNumberFormat="1" applyFont="1" applyBorder="1" applyAlignment="1">
      <alignment horizontal="center" vertical="center"/>
    </xf>
    <xf numFmtId="164" fontId="32" fillId="0" borderId="3" xfId="0" applyNumberFormat="1" applyFont="1" applyBorder="1" applyAlignment="1">
      <alignment horizontal="center" vertical="center"/>
    </xf>
    <xf numFmtId="0" fontId="12" fillId="3" borderId="0" xfId="0" applyFont="1" applyFill="1" applyAlignment="1">
      <alignment horizontal="center" vertical="center"/>
    </xf>
    <xf numFmtId="0" fontId="8" fillId="2" borderId="1" xfId="0" applyFont="1" applyFill="1" applyBorder="1" applyAlignment="1" applyProtection="1">
      <alignment horizontal="center" vertical="center"/>
      <protection locked="0"/>
    </xf>
    <xf numFmtId="166" fontId="35" fillId="0" borderId="1" xfId="0" applyNumberFormat="1" applyFont="1" applyBorder="1" applyAlignment="1">
      <alignment horizontal="center" vertical="center"/>
    </xf>
    <xf numFmtId="164" fontId="4" fillId="2" borderId="1" xfId="0" applyNumberFormat="1" applyFont="1" applyFill="1" applyBorder="1" applyAlignment="1">
      <alignment horizontal="right" vertical="center"/>
    </xf>
    <xf numFmtId="164" fontId="33" fillId="0" borderId="1" xfId="0" applyNumberFormat="1" applyFont="1" applyBorder="1" applyAlignment="1">
      <alignment horizontal="right" vertical="center"/>
    </xf>
    <xf numFmtId="0" fontId="36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 applyProtection="1">
      <alignment horizontal="center" vertical="center"/>
      <protection locked="0"/>
    </xf>
  </cellXfs>
  <cellStyles count="1">
    <cellStyle name="Normal" xfId="0" builtinId="0"/>
  </cellStyles>
  <dxfs count="5">
    <dxf>
      <numFmt numFmtId="164" formatCode="R$ #,##0.00"/>
      <border>
        <left style="thin">
          <color rgb="FFEEEEEE"/>
        </left>
        <right style="thin">
          <color rgb="FFEEEEEE"/>
        </right>
        <top style="thin">
          <color rgb="FFEEEEEE"/>
        </top>
        <bottom style="thin">
          <color rgb="FFEEEEEE"/>
        </bottom>
        <vertical/>
        <horizontal/>
      </border>
    </dxf>
    <dxf>
      <font>
        <color rgb="FF27AE60"/>
      </font>
    </dxf>
    <dxf>
      <font>
        <color rgb="FFF39C12"/>
      </font>
    </dxf>
    <dxf>
      <font>
        <b/>
        <color rgb="FFFFFFFF"/>
      </font>
      <fill>
        <patternFill>
          <bgColor rgb="FF27AE60"/>
        </patternFill>
      </fill>
    </dxf>
    <dxf>
      <font>
        <color rgb="FFFFFFFF"/>
      </font>
      <fill>
        <patternFill>
          <bgColor rgb="FF27AE60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_Empreendimentos" displayName="Table_Empreendimentos" ref="A3:J23" totalsRowShown="0">
  <autoFilter ref="A3:J23"/>
  <tableColumns count="10">
    <tableColumn id="1" name="ID"/>
    <tableColumn id="2" name="Nome"/>
    <tableColumn id="3" name="Preço" dataDxfId="0"/>
    <tableColumn id="4" name="Área"/>
    <tableColumn id="5" name="Quartos"/>
    <tableColumn id="6" name="Bairro"/>
    <tableColumn id="7" name="Entrega"/>
    <tableColumn id="8" name="Diferenciais"/>
    <tableColumn id="9" name="Lazer"/>
    <tableColumn id="10" name="Imagem_URL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e_Params" displayName="Table_Params" ref="A29:B33" headerRowCount="0" totalsRowShown="0">
  <tableColumns count="2">
    <tableColumn id="1" name="Column1"/>
    <tableColumn id="2" name="Column2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Relationship Id="rId2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mtparceiros-alt.github.io/site-mt" TargetMode="External"/><Relationship Id="rId2" Type="http://schemas.openxmlformats.org/officeDocument/2006/relationships/hyperlink" Target="https://wa.me/5511960364355?text=Ol&#225;,%20quero%20iniciar%20meu%20atendimento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s://mtparceiros-alt.github.io/site-mt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s://mtparceiros-alt.github.io/site-mt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https://mtparceiros-alt.github.io/site-m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1A1A2E"/>
  </sheetPr>
  <dimension ref="A1:J32"/>
  <sheetViews>
    <sheetView tabSelected="1" workbookViewId="0"/>
  </sheetViews>
  <sheetFormatPr defaultRowHeight="15"/>
  <cols>
    <col min="1" max="1" width="10.7109375" customWidth="1"/>
    <col min="2" max="2" width="35.7109375" customWidth="1"/>
    <col min="3" max="5" width="15.7109375" customWidth="1"/>
    <col min="6" max="6" width="20.7109375" customWidth="1"/>
    <col min="7" max="7" width="15.7109375" customWidth="1"/>
    <col min="8" max="9" width="50.7109375" customWidth="1"/>
    <col min="10" max="10" width="40.7109375" customWidth="1"/>
  </cols>
  <sheetData>
    <row r="1" spans="1:10" ht="3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3" spans="1:10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</row>
    <row r="4" spans="1:10">
      <c r="A4">
        <v>1</v>
      </c>
      <c r="B4" t="s">
        <v>11</v>
      </c>
      <c r="C4" s="2">
        <v>205000</v>
      </c>
      <c r="D4" t="s">
        <v>12</v>
      </c>
      <c r="E4" t="s">
        <v>13</v>
      </c>
      <c r="F4" t="s">
        <v>14</v>
      </c>
      <c r="G4" t="s">
        <v>15</v>
      </c>
    </row>
    <row r="5" spans="1:10">
      <c r="A5">
        <v>2</v>
      </c>
      <c r="B5" t="s">
        <v>16</v>
      </c>
      <c r="C5" s="2">
        <v>226000</v>
      </c>
      <c r="D5" t="s">
        <v>17</v>
      </c>
      <c r="E5" t="s">
        <v>13</v>
      </c>
      <c r="F5" t="s">
        <v>18</v>
      </c>
      <c r="G5" t="s">
        <v>19</v>
      </c>
    </row>
    <row r="6" spans="1:10">
      <c r="A6">
        <v>3</v>
      </c>
      <c r="B6" t="s">
        <v>20</v>
      </c>
      <c r="C6" s="2">
        <v>218000</v>
      </c>
      <c r="D6" t="s">
        <v>21</v>
      </c>
      <c r="E6" t="s">
        <v>22</v>
      </c>
      <c r="F6" t="s">
        <v>23</v>
      </c>
      <c r="G6" t="s">
        <v>24</v>
      </c>
    </row>
    <row r="7" spans="1:10">
      <c r="A7">
        <v>4</v>
      </c>
      <c r="B7" t="s">
        <v>25</v>
      </c>
      <c r="C7" s="2">
        <v>214000</v>
      </c>
      <c r="D7" t="s">
        <v>26</v>
      </c>
      <c r="E7" t="s">
        <v>13</v>
      </c>
      <c r="F7" t="s">
        <v>27</v>
      </c>
      <c r="G7" t="s">
        <v>28</v>
      </c>
    </row>
    <row r="8" spans="1:10">
      <c r="A8">
        <v>5</v>
      </c>
      <c r="B8" t="s">
        <v>29</v>
      </c>
      <c r="C8" s="2">
        <v>235000</v>
      </c>
      <c r="D8" t="s">
        <v>12</v>
      </c>
      <c r="E8" t="s">
        <v>13</v>
      </c>
      <c r="F8" t="s">
        <v>14</v>
      </c>
      <c r="G8" t="s">
        <v>30</v>
      </c>
    </row>
    <row r="9" spans="1:10">
      <c r="A9">
        <v>6</v>
      </c>
      <c r="B9" t="s">
        <v>31</v>
      </c>
      <c r="C9" s="2">
        <v>217000</v>
      </c>
      <c r="D9" t="s">
        <v>26</v>
      </c>
      <c r="E9" t="s">
        <v>13</v>
      </c>
      <c r="F9" t="s">
        <v>32</v>
      </c>
      <c r="G9" t="s">
        <v>33</v>
      </c>
    </row>
    <row r="10" spans="1:10">
      <c r="A10">
        <v>7</v>
      </c>
      <c r="B10" t="s">
        <v>34</v>
      </c>
      <c r="C10" s="2">
        <v>224000</v>
      </c>
      <c r="D10" t="s">
        <v>26</v>
      </c>
      <c r="E10" t="s">
        <v>13</v>
      </c>
      <c r="F10" t="s">
        <v>35</v>
      </c>
      <c r="G10" t="s">
        <v>36</v>
      </c>
    </row>
    <row r="11" spans="1:10">
      <c r="A11">
        <v>8</v>
      </c>
      <c r="B11" t="s">
        <v>37</v>
      </c>
      <c r="C11" s="2">
        <v>218000</v>
      </c>
      <c r="D11" t="s">
        <v>21</v>
      </c>
      <c r="E11" t="s">
        <v>13</v>
      </c>
      <c r="F11" t="s">
        <v>38</v>
      </c>
      <c r="G11" t="s">
        <v>24</v>
      </c>
    </row>
    <row r="12" spans="1:10">
      <c r="A12">
        <v>9</v>
      </c>
      <c r="B12" t="s">
        <v>39</v>
      </c>
      <c r="C12" s="2">
        <v>235000</v>
      </c>
      <c r="D12" t="s">
        <v>26</v>
      </c>
      <c r="E12" t="s">
        <v>13</v>
      </c>
      <c r="F12" t="s">
        <v>40</v>
      </c>
      <c r="G12" t="s">
        <v>30</v>
      </c>
    </row>
    <row r="13" spans="1:10">
      <c r="A13">
        <v>10</v>
      </c>
      <c r="B13" t="s">
        <v>41</v>
      </c>
      <c r="C13" s="2">
        <v>235000</v>
      </c>
      <c r="D13" t="s">
        <v>26</v>
      </c>
      <c r="E13" t="s">
        <v>13</v>
      </c>
      <c r="F13" t="s">
        <v>42</v>
      </c>
      <c r="G13" t="s">
        <v>30</v>
      </c>
    </row>
    <row r="14" spans="1:10">
      <c r="A14">
        <v>11</v>
      </c>
      <c r="B14" t="s">
        <v>43</v>
      </c>
      <c r="C14" s="2">
        <v>235000</v>
      </c>
      <c r="D14" t="s">
        <v>12</v>
      </c>
      <c r="E14" t="s">
        <v>13</v>
      </c>
      <c r="F14" t="s">
        <v>38</v>
      </c>
      <c r="G14" t="s">
        <v>30</v>
      </c>
    </row>
    <row r="15" spans="1:10">
      <c r="A15">
        <v>12</v>
      </c>
      <c r="B15" t="s">
        <v>44</v>
      </c>
      <c r="C15" s="2">
        <v>0.182</v>
      </c>
      <c r="D15" t="s">
        <v>26</v>
      </c>
      <c r="E15" t="s">
        <v>13</v>
      </c>
      <c r="F15" t="s">
        <v>38</v>
      </c>
      <c r="G15" t="s">
        <v>45</v>
      </c>
    </row>
    <row r="16" spans="1:10">
      <c r="A16">
        <v>13</v>
      </c>
      <c r="B16" t="s">
        <v>46</v>
      </c>
      <c r="C16" s="2">
        <v>226000</v>
      </c>
      <c r="D16" t="s">
        <v>17</v>
      </c>
      <c r="E16" t="s">
        <v>13</v>
      </c>
      <c r="F16" t="s">
        <v>47</v>
      </c>
      <c r="G16" t="s">
        <v>19</v>
      </c>
    </row>
    <row r="17" spans="1:7">
      <c r="A17">
        <v>14</v>
      </c>
      <c r="B17" t="s">
        <v>48</v>
      </c>
      <c r="C17" s="2">
        <v>306000</v>
      </c>
      <c r="D17" t="s">
        <v>49</v>
      </c>
      <c r="E17" t="s">
        <v>50</v>
      </c>
      <c r="F17" t="s">
        <v>51</v>
      </c>
      <c r="G17" t="s">
        <v>52</v>
      </c>
    </row>
    <row r="18" spans="1:7">
      <c r="A18">
        <v>15</v>
      </c>
      <c r="B18" t="s">
        <v>53</v>
      </c>
      <c r="C18" s="2">
        <v>235000</v>
      </c>
      <c r="D18" t="s">
        <v>12</v>
      </c>
      <c r="E18" t="s">
        <v>13</v>
      </c>
      <c r="F18" t="s">
        <v>54</v>
      </c>
      <c r="G18" t="s">
        <v>30</v>
      </c>
    </row>
    <row r="19" spans="1:7">
      <c r="A19">
        <v>16</v>
      </c>
      <c r="B19" t="s">
        <v>55</v>
      </c>
      <c r="C19" s="2">
        <v>239000</v>
      </c>
      <c r="D19" t="s">
        <v>56</v>
      </c>
      <c r="E19" t="s">
        <v>13</v>
      </c>
      <c r="F19" t="s">
        <v>57</v>
      </c>
      <c r="G19" t="s">
        <v>58</v>
      </c>
    </row>
    <row r="20" spans="1:7">
      <c r="A20">
        <v>17</v>
      </c>
      <c r="B20" t="s">
        <v>59</v>
      </c>
      <c r="C20" s="2">
        <v>523000</v>
      </c>
      <c r="D20" t="s">
        <v>60</v>
      </c>
      <c r="E20" t="s">
        <v>61</v>
      </c>
      <c r="F20" t="s">
        <v>62</v>
      </c>
      <c r="G20" t="s">
        <v>63</v>
      </c>
    </row>
    <row r="21" spans="1:7">
      <c r="A21">
        <v>18</v>
      </c>
      <c r="B21" t="s">
        <v>64</v>
      </c>
      <c r="C21" s="2">
        <v>209000</v>
      </c>
      <c r="D21" t="s">
        <v>26</v>
      </c>
      <c r="E21" t="s">
        <v>13</v>
      </c>
      <c r="F21" t="s">
        <v>42</v>
      </c>
      <c r="G21" t="s">
        <v>65</v>
      </c>
    </row>
    <row r="22" spans="1:7">
      <c r="A22">
        <v>19</v>
      </c>
      <c r="B22" t="s">
        <v>66</v>
      </c>
      <c r="C22" s="2">
        <v>525000</v>
      </c>
      <c r="D22" t="s">
        <v>67</v>
      </c>
      <c r="E22" t="s">
        <v>61</v>
      </c>
      <c r="F22" t="s">
        <v>68</v>
      </c>
      <c r="G22" t="s">
        <v>69</v>
      </c>
    </row>
    <row r="23" spans="1:7">
      <c r="A23">
        <v>20</v>
      </c>
      <c r="B23" t="s">
        <v>70</v>
      </c>
      <c r="C23" s="2">
        <v>537000</v>
      </c>
      <c r="D23" t="s">
        <v>71</v>
      </c>
      <c r="E23" t="s">
        <v>61</v>
      </c>
      <c r="F23" t="s">
        <v>32</v>
      </c>
      <c r="G23" t="s">
        <v>72</v>
      </c>
    </row>
    <row r="28" spans="1:7">
      <c r="A28" s="3" t="s">
        <v>73</v>
      </c>
    </row>
    <row r="29" spans="1:7">
      <c r="A29" t="s">
        <v>74</v>
      </c>
      <c r="B29">
        <v>8500</v>
      </c>
    </row>
    <row r="30" spans="1:7">
      <c r="A30" t="s">
        <v>75</v>
      </c>
      <c r="B30">
        <v>30000</v>
      </c>
    </row>
    <row r="31" spans="1:7">
      <c r="A31" t="s">
        <v>76</v>
      </c>
      <c r="B31">
        <v>15000</v>
      </c>
    </row>
    <row r="32" spans="1:7">
      <c r="A32" t="s">
        <v>77</v>
      </c>
      <c r="B32">
        <v>420</v>
      </c>
    </row>
  </sheetData>
  <mergeCells count="1">
    <mergeCell ref="A1:J1"/>
  </mergeCells>
  <pageMargins left="0.7" right="0.7" top="0.75" bottom="0.75" header="0.3" footer="0.3"/>
  <tableParts count="2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FormatPr defaultRowHeight="15"/>
  <sheetData>
    <row r="1" spans="1:7">
      <c r="A1" t="s">
        <v>78</v>
      </c>
      <c r="B1" t="s">
        <v>79</v>
      </c>
      <c r="C1" t="s">
        <v>80</v>
      </c>
      <c r="D1" t="s">
        <v>81</v>
      </c>
      <c r="E1" t="s">
        <v>82</v>
      </c>
      <c r="F1" t="s">
        <v>83</v>
      </c>
      <c r="G1" t="s">
        <v>84</v>
      </c>
    </row>
    <row r="2" spans="1:7">
      <c r="A2">
        <f>TODAY()</f>
        <v>0</v>
      </c>
      <c r="B2" t="s">
        <v>85</v>
      </c>
      <c r="C2">
        <f>'Educação Financeira'!$E$13</f>
        <v>0</v>
      </c>
      <c r="D2">
        <f>'Educação Financeira'!$E$24</f>
        <v>0</v>
      </c>
      <c r="E2">
        <f>'Educação Financeira'!$E$31</f>
        <v>0</v>
      </c>
      <c r="F2">
        <f>'Educação Financeira'!$G$6</f>
        <v>0</v>
      </c>
      <c r="G2">
        <f>'Educação Financeira'!$E$33</f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150"/>
  <sheetViews>
    <sheetView showGridLines="0" workbookViewId="0"/>
  </sheetViews>
  <sheetFormatPr defaultRowHeight="15"/>
  <cols>
    <col min="1" max="2" width="2.7109375" customWidth="1"/>
    <col min="3" max="3" width="25.7109375" customWidth="1"/>
    <col min="4" max="4" width="2.7109375" customWidth="1"/>
    <col min="5" max="5" width="25.7109375" customWidth="1"/>
    <col min="6" max="6" width="2.7109375" customWidth="1"/>
    <col min="7" max="7" width="25.7109375" customWidth="1"/>
    <col min="8" max="8" width="2.7109375" customWidth="1"/>
    <col min="9" max="9" width="25.7109375" customWidth="1"/>
    <col min="10" max="10" width="2.7109375" customWidth="1"/>
    <col min="11" max="11" width="25.7109375" customWidth="1"/>
    <col min="12" max="12" width="2.7109375" customWidth="1"/>
  </cols>
  <sheetData>
    <row r="1" spans="2:12" ht="45" customHeight="1"/>
    <row r="2" spans="2:12" ht="10" customHeight="1"/>
    <row r="3" spans="2:12" ht="45" customHeight="1">
      <c r="C3" s="4">
        <f>HYPERLINK("#'Laudo de Crédito'!A1", "Laudo de Crédito")</f>
        <v>0</v>
      </c>
      <c r="D3" s="4"/>
      <c r="E3" s="4">
        <f>HYPERLINK("#'Educação Financeira'!A1", "Educação Financeira")</f>
        <v>0</v>
      </c>
      <c r="F3" s="4"/>
      <c r="G3" s="4">
        <f>HYPERLINK("#'Fluxo Mensal'!A1", "Fluxo Mensal")</f>
        <v>0</v>
      </c>
      <c r="H3" s="4"/>
    </row>
    <row r="4" spans="2:12" ht="35" customHeight="1">
      <c r="B4" s="5" t="s">
        <v>86</v>
      </c>
      <c r="C4" s="5"/>
      <c r="D4" s="5"/>
      <c r="E4" s="5"/>
      <c r="F4" s="5"/>
      <c r="G4" s="5"/>
      <c r="H4" s="5"/>
      <c r="I4" s="5"/>
      <c r="J4" s="5"/>
      <c r="K4" s="5"/>
      <c r="L4" s="5"/>
    </row>
    <row r="5" spans="2:12" s="6" customFormat="1" ht="20" customHeight="1"/>
    <row r="6" spans="2:12" s="6" customFormat="1" ht="20" customHeight="1"/>
    <row r="7" spans="2:12" s="6" customFormat="1" ht="20" customHeight="1">
      <c r="C7" s="7" t="s">
        <v>87</v>
      </c>
      <c r="D7" s="7"/>
      <c r="E7" s="7"/>
      <c r="F7" s="7"/>
      <c r="G7" s="7"/>
      <c r="H7" s="7"/>
      <c r="I7" s="7"/>
      <c r="J7" s="7"/>
      <c r="K7" s="7"/>
    </row>
    <row r="8" spans="2:12" s="6" customFormat="1" ht="20" customHeight="1">
      <c r="C8" s="7"/>
      <c r="D8" s="7"/>
      <c r="E8" s="7"/>
      <c r="F8" s="7"/>
      <c r="G8" s="7"/>
      <c r="H8" s="7"/>
      <c r="I8" s="7"/>
      <c r="J8" s="7"/>
      <c r="K8" s="7"/>
    </row>
    <row r="9" spans="2:12" s="6" customFormat="1" ht="20" customHeight="1">
      <c r="C9" s="7"/>
      <c r="D9" s="7"/>
      <c r="E9" s="7"/>
      <c r="F9" s="7"/>
      <c r="G9" s="7"/>
      <c r="H9" s="7"/>
      <c r="I9" s="7"/>
      <c r="J9" s="7"/>
      <c r="K9" s="7"/>
    </row>
    <row r="10" spans="2:12" s="6" customFormat="1" ht="20" customHeight="1"/>
    <row r="11" spans="2:12" s="6" customFormat="1" ht="20" customHeight="1">
      <c r="C11" s="8" t="s">
        <v>88</v>
      </c>
      <c r="D11" s="8"/>
      <c r="E11" s="8"/>
      <c r="F11" s="8"/>
      <c r="G11" s="8"/>
      <c r="H11" s="8"/>
      <c r="I11" s="8"/>
      <c r="J11" s="8"/>
      <c r="K11" s="8"/>
    </row>
    <row r="12" spans="2:12" s="6" customFormat="1" ht="20" customHeight="1">
      <c r="C12" s="8"/>
      <c r="D12" s="8"/>
      <c r="E12" s="8"/>
      <c r="F12" s="8"/>
      <c r="G12" s="8"/>
      <c r="H12" s="8"/>
      <c r="I12" s="8"/>
      <c r="J12" s="8"/>
      <c r="K12" s="8"/>
    </row>
    <row r="13" spans="2:12" s="6" customFormat="1" ht="20" customHeight="1">
      <c r="C13" s="3" t="s">
        <v>89</v>
      </c>
      <c r="D13" s="3"/>
      <c r="E13" s="3"/>
      <c r="F13" s="3"/>
      <c r="G13" s="3"/>
      <c r="H13" s="3"/>
      <c r="I13" s="3"/>
      <c r="J13" s="3"/>
      <c r="K13" s="3"/>
    </row>
    <row r="14" spans="2:12" ht="25" customHeight="1"/>
    <row r="15" spans="2:12" s="6" customFormat="1" ht="20" customHeight="1">
      <c r="C15" s="9" t="s">
        <v>90</v>
      </c>
      <c r="D15" s="9"/>
      <c r="E15" s="9"/>
      <c r="F15" s="9"/>
      <c r="G15" s="9"/>
      <c r="H15" s="9"/>
      <c r="I15" s="9"/>
      <c r="J15" s="9"/>
      <c r="K15" s="9"/>
    </row>
    <row r="16" spans="2:12" s="6" customFormat="1" ht="20" customHeight="1">
      <c r="C16" s="9"/>
      <c r="D16" s="9"/>
      <c r="E16" s="9"/>
      <c r="F16" s="9"/>
      <c r="G16" s="9"/>
      <c r="H16" s="9"/>
      <c r="I16" s="9"/>
      <c r="J16" s="9"/>
      <c r="K16" s="9"/>
    </row>
    <row r="17" spans="3:11" s="6" customFormat="1" ht="20" customHeight="1">
      <c r="C17" s="9"/>
      <c r="D17" s="9"/>
      <c r="E17" s="9"/>
      <c r="F17" s="9"/>
      <c r="G17" s="9"/>
      <c r="H17" s="9"/>
      <c r="I17" s="9"/>
      <c r="J17" s="9"/>
      <c r="K17" s="9"/>
    </row>
    <row r="18" spans="3:11" s="6" customFormat="1" ht="20" customHeight="1"/>
    <row r="19" spans="3:11" s="6" customFormat="1" ht="20" customHeight="1">
      <c r="C19" s="3" t="s">
        <v>91</v>
      </c>
      <c r="D19" s="3"/>
      <c r="E19" s="3"/>
      <c r="F19" s="3"/>
      <c r="G19" s="3"/>
      <c r="H19" s="3"/>
      <c r="I19" s="3"/>
      <c r="J19" s="3"/>
      <c r="K19" s="3"/>
    </row>
    <row r="20" spans="3:11" s="6" customFormat="1" ht="20" customHeight="1">
      <c r="C20" s="1" t="s">
        <v>92</v>
      </c>
      <c r="D20" s="1"/>
      <c r="E20" s="1"/>
      <c r="F20" s="1"/>
      <c r="G20" s="1"/>
      <c r="H20" s="1"/>
      <c r="I20" s="1"/>
      <c r="J20" s="1"/>
      <c r="K20" s="1"/>
    </row>
    <row r="21" spans="3:11" s="6" customFormat="1" ht="20" customHeight="1">
      <c r="C21" s="1" t="s">
        <v>93</v>
      </c>
      <c r="D21" s="1"/>
      <c r="E21" s="1"/>
      <c r="F21" s="1"/>
      <c r="G21" s="1"/>
      <c r="H21" s="1"/>
      <c r="I21" s="1"/>
      <c r="J21" s="1"/>
      <c r="K21" s="1"/>
    </row>
    <row r="22" spans="3:11" s="6" customFormat="1" ht="20" customHeight="1"/>
    <row r="23" spans="3:11" s="6" customFormat="1" ht="20" customHeight="1">
      <c r="C23" s="1" t="s">
        <v>94</v>
      </c>
      <c r="E23" s="10" t="s">
        <v>95</v>
      </c>
      <c r="F23" s="10"/>
      <c r="G23" s="10"/>
      <c r="H23" s="10"/>
      <c r="I23" s="10"/>
    </row>
    <row r="24" spans="3:11" s="6" customFormat="1" ht="20" customHeight="1"/>
    <row r="25" spans="3:11" s="6" customFormat="1" ht="20" customHeight="1"/>
    <row r="26" spans="3:11" ht="40" customHeight="1">
      <c r="C26" s="11" t="s">
        <v>96</v>
      </c>
      <c r="D26" s="11"/>
      <c r="E26" s="11"/>
      <c r="F26" s="11"/>
      <c r="G26" s="11"/>
      <c r="H26" s="11"/>
      <c r="I26" s="11"/>
      <c r="J26" s="11"/>
      <c r="K26" s="11"/>
    </row>
    <row r="27" spans="3:11" s="6" customFormat="1" ht="20" customHeight="1">
      <c r="C27" s="11"/>
      <c r="D27" s="11"/>
      <c r="E27" s="11"/>
      <c r="F27" s="11"/>
      <c r="G27" s="11"/>
      <c r="H27" s="11"/>
      <c r="I27" s="11"/>
      <c r="J27" s="11"/>
      <c r="K27" s="11"/>
    </row>
    <row r="28" spans="3:11" s="6" customFormat="1" ht="20" customHeight="1"/>
    <row r="29" spans="3:11">
      <c r="C29" s="12" t="s">
        <v>97</v>
      </c>
      <c r="D29" s="12"/>
      <c r="E29" s="12"/>
      <c r="F29" s="12"/>
      <c r="G29" s="12"/>
      <c r="H29" s="12"/>
      <c r="I29" s="12"/>
      <c r="J29" s="12"/>
      <c r="K29" s="12"/>
    </row>
    <row r="30" spans="3:11" s="6" customFormat="1" ht="20" customHeight="1"/>
    <row r="31" spans="3:11" s="6" customFormat="1" ht="20" customHeight="1"/>
    <row r="32" spans="3:11" s="6" customFormat="1" ht="20" customHeight="1"/>
    <row r="33" spans="3:12" s="6" customFormat="1" ht="20" customHeight="1"/>
    <row r="34" spans="3:12" s="6" customFormat="1" ht="20" customHeight="1">
      <c r="C34" s="13" t="s">
        <v>98</v>
      </c>
      <c r="D34" s="13"/>
      <c r="E34" s="13"/>
      <c r="G34" s="14" t="s">
        <v>100</v>
      </c>
      <c r="H34" s="14"/>
      <c r="I34" s="14"/>
      <c r="K34" s="15" t="s">
        <v>102</v>
      </c>
      <c r="L34" s="15"/>
    </row>
    <row r="35" spans="3:12" s="6" customFormat="1" ht="20" customHeight="1">
      <c r="C35" s="16">
        <v>0</v>
      </c>
      <c r="D35" s="16"/>
      <c r="E35" s="16"/>
      <c r="G35" s="17">
        <v>0</v>
      </c>
      <c r="H35" s="17"/>
      <c r="I35" s="17"/>
      <c r="K35" s="18">
        <v>0</v>
      </c>
      <c r="L35" s="18"/>
    </row>
    <row r="36" spans="3:12" s="6" customFormat="1" ht="20" customHeight="1">
      <c r="C36" s="19" t="s">
        <v>99</v>
      </c>
      <c r="D36" s="19"/>
      <c r="E36" s="19"/>
      <c r="G36" s="19" t="s">
        <v>101</v>
      </c>
      <c r="H36" s="19"/>
      <c r="I36" s="19"/>
      <c r="K36" s="19" t="s">
        <v>103</v>
      </c>
      <c r="L36" s="19"/>
    </row>
    <row r="37" spans="3:12" s="6" customFormat="1" ht="20" customHeight="1"/>
    <row r="38" spans="3:12" s="6" customFormat="1" ht="20" customHeight="1"/>
    <row r="39" spans="3:12" s="6" customFormat="1" ht="20" customHeight="1"/>
    <row r="40" spans="3:12" ht="30" customHeight="1">
      <c r="C40" s="20" t="s">
        <v>104</v>
      </c>
      <c r="D40" s="20"/>
      <c r="E40" s="20"/>
      <c r="F40" s="20"/>
      <c r="G40" s="20"/>
      <c r="H40" s="20"/>
      <c r="I40" s="20"/>
      <c r="J40" s="20"/>
      <c r="K40" s="20"/>
    </row>
    <row r="41" spans="3:12" s="6" customFormat="1" ht="20" customHeight="1">
      <c r="C41" s="21" t="s">
        <v>105</v>
      </c>
      <c r="D41" s="21"/>
      <c r="E41" s="21"/>
      <c r="F41" s="21"/>
      <c r="G41" s="21"/>
      <c r="H41" s="21"/>
      <c r="I41" s="21"/>
      <c r="J41" s="21"/>
      <c r="K41" s="21"/>
    </row>
    <row r="42" spans="3:12" s="6" customFormat="1" ht="20" customHeight="1"/>
    <row r="43" spans="3:12" s="6" customFormat="1" ht="20" customHeight="1">
      <c r="C43" s="22" t="s">
        <v>106</v>
      </c>
      <c r="E43" s="22" t="s">
        <v>107</v>
      </c>
      <c r="G43" s="22" t="s">
        <v>108</v>
      </c>
    </row>
    <row r="44" spans="3:12" s="6" customFormat="1" ht="20" customHeight="1"/>
    <row r="45" spans="3:12" s="6" customFormat="1" ht="20" customHeight="1">
      <c r="C45" s="22" t="s">
        <v>109</v>
      </c>
      <c r="E45" s="22" t="s">
        <v>110</v>
      </c>
      <c r="G45" s="22" t="s">
        <v>111</v>
      </c>
    </row>
    <row r="46" spans="3:12" s="6" customFormat="1" ht="20" customHeight="1"/>
    <row r="47" spans="3:12" s="6" customFormat="1" ht="20" customHeight="1"/>
    <row r="48" spans="3:12" s="6" customFormat="1" ht="20" customHeight="1"/>
    <row r="49" spans="2:12" ht="40" customHeight="1">
      <c r="C49" s="23" t="s">
        <v>112</v>
      </c>
      <c r="D49" s="23"/>
      <c r="E49" s="23"/>
      <c r="F49" s="23"/>
      <c r="G49" s="23"/>
      <c r="H49" s="23"/>
      <c r="I49" s="23"/>
      <c r="J49" s="23"/>
      <c r="K49" s="23"/>
    </row>
    <row r="50" spans="2:12" s="6" customFormat="1" ht="20" customHeight="1">
      <c r="C50" s="23"/>
      <c r="D50" s="23"/>
      <c r="E50" s="23"/>
      <c r="F50" s="23"/>
      <c r="G50" s="23"/>
      <c r="H50" s="23"/>
      <c r="I50" s="23"/>
      <c r="J50" s="23"/>
      <c r="K50" s="23"/>
    </row>
    <row r="51" spans="2:12" s="6" customFormat="1" ht="20" customHeight="1"/>
    <row r="52" spans="2:12" s="6" customFormat="1" ht="20" customHeight="1"/>
    <row r="53" spans="2:12" s="6" customFormat="1" ht="20" customHeight="1"/>
    <row r="54" spans="2:12" s="6" customFormat="1" ht="20" customHeight="1"/>
    <row r="55" spans="2:12" s="6" customFormat="1" ht="20" customHeight="1"/>
    <row r="56" spans="2:12" s="6" customFormat="1" ht="20" customHeight="1"/>
    <row r="57" spans="2:12" s="6" customFormat="1" ht="20" customHeight="1"/>
    <row r="58" spans="2:12" s="6" customFormat="1" ht="20" customHeight="1"/>
    <row r="59" spans="2:12" s="6" customFormat="1" ht="20" customHeight="1"/>
    <row r="60" spans="2:12" s="6" customFormat="1" ht="20" customHeight="1"/>
    <row r="61" spans="2:12" ht="30" customHeight="1">
      <c r="B61" s="24" t="s">
        <v>113</v>
      </c>
      <c r="C61" s="24"/>
      <c r="D61" s="24"/>
      <c r="E61" s="24"/>
      <c r="F61" s="24"/>
      <c r="G61" s="24"/>
      <c r="H61" s="24"/>
      <c r="I61" s="24"/>
      <c r="J61" s="24"/>
      <c r="K61" s="24"/>
      <c r="L61" s="24"/>
    </row>
    <row r="62" spans="2:12" s="6" customFormat="1" ht="20" customHeight="1"/>
    <row r="63" spans="2:12" s="6" customFormat="1" ht="20" customHeight="1"/>
    <row r="64" spans="2:12" s="6" customFormat="1" ht="20" customHeight="1"/>
    <row r="65" s="6" customFormat="1" ht="20" customHeight="1"/>
    <row r="66" s="6" customFormat="1" ht="20" customHeight="1"/>
    <row r="67" s="6" customFormat="1" ht="20" customHeight="1"/>
    <row r="68" s="6" customFormat="1" ht="20" customHeight="1"/>
    <row r="69" s="6" customFormat="1" ht="20" customHeight="1"/>
    <row r="70" s="6" customFormat="1" ht="20" customHeight="1"/>
    <row r="71" s="6" customFormat="1" ht="20" customHeight="1"/>
    <row r="72" s="6" customFormat="1" ht="20" customHeight="1"/>
    <row r="73" s="6" customFormat="1" ht="20" customHeight="1"/>
    <row r="74" s="6" customFormat="1" ht="20" customHeight="1"/>
    <row r="75" s="6" customFormat="1" ht="20" customHeight="1"/>
    <row r="76" s="6" customFormat="1" ht="20" customHeight="1"/>
    <row r="77" s="6" customFormat="1" ht="20" customHeight="1"/>
    <row r="78" s="6" customFormat="1" ht="20" customHeight="1"/>
    <row r="79" s="6" customFormat="1" ht="20" customHeight="1"/>
    <row r="80" s="6" customFormat="1" ht="20" customHeight="1"/>
    <row r="81" s="6" customFormat="1" ht="20" customHeight="1"/>
    <row r="82" s="6" customFormat="1" ht="20" customHeight="1"/>
    <row r="83" s="6" customFormat="1" ht="20" customHeight="1"/>
    <row r="84" s="6" customFormat="1" ht="20" customHeight="1"/>
    <row r="85" s="6" customFormat="1" ht="20" customHeight="1"/>
    <row r="86" s="6" customFormat="1" ht="20" customHeight="1"/>
    <row r="87" s="6" customFormat="1" ht="20" customHeight="1"/>
    <row r="88" s="6" customFormat="1" ht="20" customHeight="1"/>
    <row r="89" s="6" customFormat="1" ht="20" customHeight="1"/>
    <row r="90" s="6" customFormat="1" ht="20" customHeight="1"/>
    <row r="91" s="6" customFormat="1" ht="20" customHeight="1"/>
    <row r="92" s="6" customFormat="1" ht="20" customHeight="1"/>
    <row r="93" s="6" customFormat="1" ht="20" customHeight="1"/>
    <row r="94" s="6" customFormat="1" ht="20" customHeight="1"/>
    <row r="95" s="6" customFormat="1" ht="20" customHeight="1"/>
    <row r="96" s="6" customFormat="1" ht="20" customHeight="1"/>
    <row r="97" s="6" customFormat="1" ht="20" customHeight="1"/>
    <row r="98" s="6" customFormat="1" ht="20" customHeight="1"/>
    <row r="99" s="6" customFormat="1" ht="20" customHeight="1"/>
    <row r="100" s="6" customFormat="1" ht="20" customHeight="1"/>
    <row r="101" s="6" customFormat="1" ht="20" customHeight="1"/>
    <row r="102" s="6" customFormat="1" ht="20" customHeight="1"/>
    <row r="103" s="6" customFormat="1" ht="20" customHeight="1"/>
    <row r="104" s="6" customFormat="1" ht="20" customHeight="1"/>
    <row r="105" s="6" customFormat="1" ht="20" customHeight="1"/>
    <row r="106" s="6" customFormat="1" ht="20" customHeight="1"/>
    <row r="107" s="6" customFormat="1" ht="20" customHeight="1"/>
    <row r="108" s="6" customFormat="1" ht="20" customHeight="1"/>
    <row r="109" s="6" customFormat="1" ht="20" customHeight="1"/>
    <row r="110" s="6" customFormat="1" ht="20" customHeight="1"/>
    <row r="111" s="6" customFormat="1" ht="20" customHeight="1"/>
    <row r="112" s="6" customFormat="1" ht="20" customHeight="1"/>
    <row r="113" s="6" customFormat="1" ht="20" customHeight="1"/>
    <row r="114" s="6" customFormat="1" ht="20" customHeight="1"/>
    <row r="115" s="6" customFormat="1" ht="20" customHeight="1"/>
    <row r="116" s="6" customFormat="1" ht="20" customHeight="1"/>
    <row r="117" s="6" customFormat="1" ht="20" customHeight="1"/>
    <row r="118" s="6" customFormat="1" ht="20" customHeight="1"/>
    <row r="119" s="6" customFormat="1" ht="20" customHeight="1"/>
    <row r="120" s="6" customFormat="1" ht="20" customHeight="1"/>
    <row r="121" s="6" customFormat="1" ht="20" customHeight="1"/>
    <row r="122" s="6" customFormat="1" ht="20" customHeight="1"/>
    <row r="123" s="6" customFormat="1" ht="20" customHeight="1"/>
    <row r="124" s="6" customFormat="1" ht="20" customHeight="1"/>
    <row r="125" s="6" customFormat="1" ht="20" customHeight="1"/>
    <row r="126" s="6" customFormat="1" ht="20" customHeight="1"/>
    <row r="127" s="6" customFormat="1" ht="20" customHeight="1"/>
    <row r="128" s="6" customFormat="1" ht="20" customHeight="1"/>
    <row r="129" s="6" customFormat="1" ht="20" customHeight="1"/>
    <row r="130" s="6" customFormat="1" ht="20" customHeight="1"/>
    <row r="131" s="6" customFormat="1" ht="20" customHeight="1"/>
    <row r="132" s="6" customFormat="1" ht="20" customHeight="1"/>
    <row r="133" s="6" customFormat="1" ht="20" customHeight="1"/>
    <row r="134" s="6" customFormat="1" ht="20" customHeight="1"/>
    <row r="135" s="6" customFormat="1" ht="20" customHeight="1"/>
    <row r="136" s="6" customFormat="1" ht="20" customHeight="1"/>
    <row r="137" s="6" customFormat="1" ht="20" customHeight="1"/>
    <row r="138" s="6" customFormat="1" ht="20" customHeight="1"/>
    <row r="139" s="6" customFormat="1" ht="20" customHeight="1"/>
    <row r="140" s="6" customFormat="1" ht="20" customHeight="1"/>
    <row r="141" s="6" customFormat="1" ht="20" customHeight="1"/>
    <row r="142" s="6" customFormat="1" ht="20" customHeight="1"/>
    <row r="143" s="6" customFormat="1" ht="20" customHeight="1"/>
    <row r="144" s="6" customFormat="1" ht="20" customHeight="1"/>
    <row r="145" s="6" customFormat="1" ht="20" customHeight="1"/>
    <row r="146" s="6" customFormat="1" ht="20" customHeight="1"/>
    <row r="147" s="6" customFormat="1" ht="20" customHeight="1"/>
    <row r="148" s="6" customFormat="1" ht="20" customHeight="1"/>
    <row r="149" s="6" customFormat="1" ht="20" customHeight="1"/>
    <row r="150" s="6" customFormat="1" ht="20" customHeight="1"/>
  </sheetData>
  <sheetProtection sheet="1" autoFilter="0"/>
  <mergeCells count="27">
    <mergeCell ref="C3:D3"/>
    <mergeCell ref="E3:F3"/>
    <mergeCell ref="G3:H3"/>
    <mergeCell ref="B4:L4"/>
    <mergeCell ref="C7:K9"/>
    <mergeCell ref="C11:K12"/>
    <mergeCell ref="C13:K13"/>
    <mergeCell ref="C15:K17"/>
    <mergeCell ref="C19:K19"/>
    <mergeCell ref="C20:K20"/>
    <mergeCell ref="C21:K21"/>
    <mergeCell ref="E23:I23"/>
    <mergeCell ref="C26:K27"/>
    <mergeCell ref="C29:K29"/>
    <mergeCell ref="C34:E34"/>
    <mergeCell ref="C35:E35"/>
    <mergeCell ref="C36:E36"/>
    <mergeCell ref="G34:I34"/>
    <mergeCell ref="G35:I35"/>
    <mergeCell ref="G36:I36"/>
    <mergeCell ref="K34:L34"/>
    <mergeCell ref="K35:L35"/>
    <mergeCell ref="K36:L36"/>
    <mergeCell ref="C40:K40"/>
    <mergeCell ref="C41:K41"/>
    <mergeCell ref="C49:K50"/>
    <mergeCell ref="B61:L61"/>
  </mergeCells>
  <hyperlinks>
    <hyperlink ref="B4" r:id="rId1"/>
    <hyperlink ref="C26" location="'Laudo de Crédito'!A1" display="INICIAR SIMULAÇÃO ▶"/>
    <hyperlink ref="C49" r:id="rId2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L150"/>
  <sheetViews>
    <sheetView showGridLines="0" workbookViewId="0"/>
  </sheetViews>
  <sheetFormatPr defaultRowHeight="15"/>
  <cols>
    <col min="1" max="2" width="2.7109375" customWidth="1"/>
    <col min="3" max="3" width="25.7109375" customWidth="1"/>
    <col min="4" max="4" width="2.7109375" customWidth="1"/>
    <col min="5" max="5" width="25.7109375" customWidth="1"/>
    <col min="6" max="6" width="2.7109375" customWidth="1"/>
    <col min="7" max="7" width="25.7109375" customWidth="1"/>
    <col min="8" max="8" width="2.7109375" customWidth="1"/>
    <col min="9" max="9" width="25.7109375" customWidth="1"/>
    <col min="10" max="10" width="2.7109375" customWidth="1"/>
    <col min="11" max="11" width="25.7109375" customWidth="1"/>
    <col min="12" max="12" width="2.7109375" customWidth="1"/>
  </cols>
  <sheetData>
    <row r="1" spans="2:12" ht="30" customHeight="1">
      <c r="B1" s="25" t="s">
        <v>114</v>
      </c>
      <c r="C1" s="25"/>
      <c r="D1" s="25"/>
      <c r="E1" s="25"/>
      <c r="F1" s="25"/>
      <c r="G1" s="25"/>
      <c r="H1" s="25"/>
      <c r="I1" s="25"/>
      <c r="J1" s="25"/>
      <c r="K1" s="25"/>
      <c r="L1" s="25"/>
    </row>
    <row r="2" spans="2:12" ht="10" customHeight="1"/>
    <row r="3" spans="2:12" ht="45" customHeight="1">
      <c r="C3" s="26">
        <f>HYPERLINK("#'Laudo de Crédito'!A1", "Laudo de Crédito")</f>
        <v>0</v>
      </c>
      <c r="D3" s="26"/>
      <c r="E3" s="4">
        <f>HYPERLINK("#'Educação Financeira'!A1", "Educação Financeira")</f>
        <v>0</v>
      </c>
      <c r="F3" s="4"/>
      <c r="G3" s="4">
        <f>HYPERLINK("#'Fluxo Mensal'!A1", "Fluxo Mensal")</f>
        <v>0</v>
      </c>
      <c r="H3" s="4"/>
    </row>
    <row r="4" spans="2:12" ht="35" customHeight="1">
      <c r="B4" s="5" t="s">
        <v>86</v>
      </c>
      <c r="C4" s="5"/>
      <c r="D4" s="5"/>
      <c r="E4" s="5"/>
      <c r="F4" s="5"/>
      <c r="G4" s="5"/>
      <c r="H4" s="5"/>
      <c r="I4" s="5"/>
      <c r="J4" s="5"/>
      <c r="K4" s="5"/>
      <c r="L4" s="5"/>
    </row>
    <row r="5" spans="2:12" s="6" customFormat="1" ht="20" customHeight="1"/>
    <row r="6" spans="2:12" s="6" customFormat="1" ht="20" customHeight="1">
      <c r="C6" s="3" t="s">
        <v>115</v>
      </c>
      <c r="I6" s="1" t="s">
        <v>118</v>
      </c>
      <c r="J6" s="27" t="s">
        <v>119</v>
      </c>
      <c r="K6" s="28" t="s">
        <v>120</v>
      </c>
    </row>
    <row r="7" spans="2:12" s="6" customFormat="1" ht="20" customHeight="1">
      <c r="C7" s="8" t="s">
        <v>116</v>
      </c>
    </row>
    <row r="8" spans="2:12" s="6" customFormat="1" ht="20" customHeight="1">
      <c r="C8" s="29" t="s">
        <v>117</v>
      </c>
      <c r="D8" s="29"/>
      <c r="E8" s="29"/>
      <c r="F8" s="29"/>
      <c r="G8" s="29"/>
      <c r="H8" s="29"/>
      <c r="I8" s="29"/>
      <c r="J8" s="29"/>
      <c r="K8" s="29"/>
    </row>
    <row r="9" spans="2:12" s="6" customFormat="1" ht="20" customHeight="1"/>
    <row r="10" spans="2:12" s="6" customFormat="1" ht="20" customHeight="1">
      <c r="C10" s="30">
        <f>"Simulação preparada para: " &amp; 'Educação Financeira'!C9</f>
        <v>0</v>
      </c>
    </row>
    <row r="11" spans="2:12" s="6" customFormat="1" ht="20" customHeight="1"/>
    <row r="12" spans="2:12" s="6" customFormat="1" ht="20" customHeight="1"/>
    <row r="13" spans="2:12">
      <c r="B13" s="31"/>
      <c r="C13" s="32" t="s">
        <v>121</v>
      </c>
      <c r="D13" s="32"/>
      <c r="F13" s="31"/>
      <c r="G13" s="32" t="s">
        <v>125</v>
      </c>
      <c r="H13" s="32"/>
    </row>
    <row r="14" spans="2:12" ht="30" customHeight="1">
      <c r="B14" s="31"/>
      <c r="C14" s="33">
        <f>'Educação Financeira'!E13</f>
        <v>0</v>
      </c>
      <c r="F14" s="31"/>
      <c r="G14" s="34">
        <f>'Educação Financeira'!E31</f>
        <v>0</v>
      </c>
    </row>
    <row r="15" spans="2:12" s="6" customFormat="1" ht="20" customHeight="1"/>
    <row r="16" spans="2:12" s="6" customFormat="1" ht="20" customHeight="1"/>
    <row r="17" spans="2:11">
      <c r="B17" s="31"/>
      <c r="C17" s="32" t="s">
        <v>122</v>
      </c>
      <c r="D17" s="32"/>
      <c r="F17" s="31"/>
      <c r="G17" s="32" t="s">
        <v>126</v>
      </c>
      <c r="H17" s="32"/>
    </row>
    <row r="18" spans="2:11" ht="30" customHeight="1">
      <c r="B18" s="31"/>
      <c r="C18" s="33">
        <f>'Educação Financeira'!E29</f>
        <v>0</v>
      </c>
      <c r="F18" s="31"/>
      <c r="G18" s="34">
        <f>'Educação Financeira'!E33</f>
        <v>0</v>
      </c>
    </row>
    <row r="19" spans="2:11" s="6" customFormat="1" ht="20" customHeight="1"/>
    <row r="20" spans="2:11" s="6" customFormat="1" ht="20" customHeight="1"/>
    <row r="21" spans="2:11">
      <c r="B21" s="31"/>
      <c r="C21" s="32" t="s">
        <v>123</v>
      </c>
      <c r="D21" s="32"/>
      <c r="F21" s="31"/>
      <c r="G21" s="32" t="s">
        <v>127</v>
      </c>
      <c r="H21" s="32"/>
    </row>
    <row r="22" spans="2:11" ht="30" customHeight="1">
      <c r="B22" s="31"/>
      <c r="C22" s="33">
        <f>'Educação Financeira'!E30</f>
        <v>0</v>
      </c>
      <c r="F22" s="31"/>
      <c r="G22" s="35">
        <f>('Educação Financeira'!E33 / 'Educação Financeira'!E13)</f>
        <v>0</v>
      </c>
    </row>
    <row r="23" spans="2:11" s="6" customFormat="1" ht="20" customHeight="1"/>
    <row r="24" spans="2:11" s="6" customFormat="1" ht="20" customHeight="1">
      <c r="I24" s="1" t="s">
        <v>128</v>
      </c>
    </row>
    <row r="25" spans="2:11">
      <c r="B25" s="31"/>
      <c r="C25" s="32" t="s">
        <v>124</v>
      </c>
      <c r="D25" s="32"/>
      <c r="I25" s="36">
        <f>IF('Educação Financeira'!E33/'Educação Financeira'!E13 &lt;= 0.30, "Aprovação Provável", "Risco de Parcelamento")</f>
        <v>0</v>
      </c>
      <c r="J25" s="36"/>
      <c r="K25" s="36"/>
    </row>
    <row r="26" spans="2:11" ht="30" customHeight="1">
      <c r="B26" s="31"/>
      <c r="C26" s="33">
        <f>'Educação Financeira'!E24</f>
        <v>0</v>
      </c>
      <c r="I26" s="36"/>
      <c r="J26" s="36"/>
      <c r="K26" s="36"/>
    </row>
    <row r="27" spans="2:11" s="6" customFormat="1" ht="20" customHeight="1"/>
    <row r="28" spans="2:11" s="6" customFormat="1" ht="20" customHeight="1">
      <c r="C28" s="3" t="s">
        <v>129</v>
      </c>
      <c r="D28" s="3"/>
      <c r="E28" s="3"/>
    </row>
    <row r="29" spans="2:11" s="6" customFormat="1" ht="20" customHeight="1">
      <c r="C29" s="37">
        <f>MIN(100, MIN(40, MAX(0, 40-((('Educação Financeira'!E33/'Educação Financeira'!E13)-0.25)*200))) + MIN(30, 'Educação Financeira'!E24/50000*30) + IF('Educação Financeira'!E26="SIM",30,10))</f>
        <v>0</v>
      </c>
      <c r="D29" s="37"/>
      <c r="E29" s="37"/>
    </row>
    <row r="30" spans="2:11" s="6" customFormat="1" ht="20" customHeight="1">
      <c r="C30" s="37"/>
      <c r="D30" s="37"/>
      <c r="E30" s="37"/>
    </row>
    <row r="31" spans="2:11" s="6" customFormat="1" ht="20" customHeight="1"/>
    <row r="32" spans="2:11" s="6" customFormat="1" ht="20" customHeight="1"/>
    <row r="33" spans="2:12" ht="25" customHeight="1">
      <c r="C33" s="3" t="s">
        <v>130</v>
      </c>
      <c r="I33" s="3" t="s">
        <v>134</v>
      </c>
    </row>
    <row r="34" spans="2:12" s="6" customFormat="1" ht="20" customHeight="1"/>
    <row r="35" spans="2:12" s="6" customFormat="1" ht="20" customHeight="1">
      <c r="C35" s="38" t="s">
        <v>131</v>
      </c>
      <c r="E35" s="2">
        <f>'Educação Financeira'!E29</f>
        <v>0</v>
      </c>
      <c r="G35" s="39">
        <f>IF(E35&gt;0, REPT("█", INT(MIN(20, E35/20000))), "")</f>
        <v>0</v>
      </c>
      <c r="I35" s="38" t="s">
        <v>135</v>
      </c>
    </row>
    <row r="36" spans="2:12" s="6" customFormat="1" ht="20" customHeight="1">
      <c r="I36" s="40">
        <f>IF(IFERROR('Educação Financeira'!E33 / 'Educação Financeira'!E13, 0)&gt;0, REPT("▓", INT(MIN(30, IFERROR('Educação Financeira'!E33 / 'Educação Financeira'!E13, 0) * 100))), "")</f>
        <v>0</v>
      </c>
    </row>
    <row r="37" spans="2:12" s="6" customFormat="1" ht="20" customHeight="1">
      <c r="C37" s="38" t="s">
        <v>132</v>
      </c>
      <c r="E37" s="2">
        <f>'Educação Financeira'!E30</f>
        <v>0</v>
      </c>
      <c r="G37" s="41">
        <f>IF(E37&gt;0, REPT("█", INT(MIN(20, E37/5000))), "")</f>
        <v>0</v>
      </c>
    </row>
    <row r="38" spans="2:12" s="6" customFormat="1" ht="20" customHeight="1">
      <c r="I38" s="38" t="s">
        <v>136</v>
      </c>
    </row>
    <row r="39" spans="2:12" s="6" customFormat="1" ht="20" customHeight="1">
      <c r="C39" s="38" t="s">
        <v>133</v>
      </c>
      <c r="E39" s="2">
        <f>'Educação Financeira'!E24</f>
        <v>0</v>
      </c>
      <c r="G39" s="42">
        <f>IF(E39&gt;0, REPT("█", INT(MIN(20, E39/5000))), "")</f>
        <v>0</v>
      </c>
      <c r="I39" s="42">
        <f>IF(IFERROR(1 - ('Educação Financeira'!E33 / 'Educação Financeira'!E13), 0)&gt;0, REPT("▓", INT(MIN(30, IFERROR(1 - ('Educação Financeira'!E33 / 'Educação Financeira'!E13), 0) * 100))), "")</f>
        <v>0</v>
      </c>
    </row>
    <row r="40" spans="2:12" s="6" customFormat="1" ht="20" customHeight="1"/>
    <row r="41" spans="2:12" ht="30" customHeight="1">
      <c r="B41" s="24" t="s">
        <v>113</v>
      </c>
      <c r="C41" s="24"/>
      <c r="D41" s="24"/>
      <c r="E41" s="24"/>
      <c r="F41" s="24"/>
      <c r="G41" s="24"/>
      <c r="H41" s="24"/>
      <c r="I41" s="24"/>
      <c r="J41" s="24"/>
      <c r="K41" s="24"/>
      <c r="L41" s="24"/>
    </row>
    <row r="42" spans="2:12" s="6" customFormat="1" ht="20" customHeight="1"/>
    <row r="43" spans="2:12" s="6" customFormat="1" ht="20" customHeight="1"/>
    <row r="44" spans="2:12" s="6" customFormat="1" ht="20" customHeight="1"/>
    <row r="45" spans="2:12" s="6" customFormat="1" ht="20" customHeight="1"/>
    <row r="46" spans="2:12" s="6" customFormat="1" ht="20" customHeight="1"/>
    <row r="47" spans="2:12" s="6" customFormat="1" ht="20" customHeight="1"/>
    <row r="48" spans="2:12" s="6" customFormat="1" ht="20" customHeight="1"/>
    <row r="49" s="6" customFormat="1" ht="20" customHeight="1"/>
    <row r="50" s="6" customFormat="1" ht="20" customHeight="1"/>
    <row r="51" s="6" customFormat="1" ht="20" customHeight="1"/>
    <row r="52" s="6" customFormat="1" ht="20" customHeight="1"/>
    <row r="53" s="6" customFormat="1" ht="20" customHeight="1"/>
    <row r="54" s="6" customFormat="1" ht="20" customHeight="1"/>
    <row r="55" s="6" customFormat="1" ht="20" customHeight="1"/>
    <row r="56" s="6" customFormat="1" ht="20" customHeight="1"/>
    <row r="57" s="6" customFormat="1" ht="20" customHeight="1"/>
    <row r="58" s="6" customFormat="1" ht="20" customHeight="1"/>
    <row r="59" s="6" customFormat="1" ht="20" customHeight="1"/>
    <row r="60" s="6" customFormat="1" ht="20" customHeight="1"/>
    <row r="61" s="6" customFormat="1" ht="20" customHeight="1"/>
    <row r="62" s="6" customFormat="1" ht="20" customHeight="1"/>
    <row r="63" s="6" customFormat="1" ht="20" customHeight="1"/>
    <row r="64" s="6" customFormat="1" ht="20" customHeight="1"/>
    <row r="65" s="6" customFormat="1" ht="20" customHeight="1"/>
    <row r="66" s="6" customFormat="1" ht="20" customHeight="1"/>
    <row r="67" s="6" customFormat="1" ht="20" customHeight="1"/>
    <row r="68" s="6" customFormat="1" ht="20" customHeight="1"/>
    <row r="69" s="6" customFormat="1" ht="20" customHeight="1"/>
    <row r="70" s="6" customFormat="1" ht="20" customHeight="1"/>
    <row r="71" s="6" customFormat="1" ht="20" customHeight="1"/>
    <row r="72" s="6" customFormat="1" ht="20" customHeight="1"/>
    <row r="73" s="6" customFormat="1" ht="20" customHeight="1"/>
    <row r="74" s="6" customFormat="1" ht="20" customHeight="1"/>
    <row r="75" s="6" customFormat="1" ht="20" customHeight="1"/>
    <row r="76" s="6" customFormat="1" ht="20" customHeight="1"/>
    <row r="77" s="6" customFormat="1" ht="20" customHeight="1"/>
    <row r="78" s="6" customFormat="1" ht="20" customHeight="1"/>
    <row r="79" s="6" customFormat="1" ht="20" customHeight="1"/>
    <row r="80" s="6" customFormat="1" ht="20" customHeight="1"/>
    <row r="81" s="6" customFormat="1" ht="20" customHeight="1"/>
    <row r="82" s="6" customFormat="1" ht="20" customHeight="1"/>
    <row r="83" s="6" customFormat="1" ht="20" customHeight="1"/>
    <row r="84" s="6" customFormat="1" ht="20" customHeight="1"/>
    <row r="85" s="6" customFormat="1" ht="20" customHeight="1"/>
    <row r="86" s="6" customFormat="1" ht="20" customHeight="1"/>
    <row r="87" s="6" customFormat="1" ht="20" customHeight="1"/>
    <row r="88" s="6" customFormat="1" ht="20" customHeight="1"/>
    <row r="89" s="6" customFormat="1" ht="20" customHeight="1"/>
    <row r="90" s="6" customFormat="1" ht="20" customHeight="1"/>
    <row r="91" s="6" customFormat="1" ht="20" customHeight="1"/>
    <row r="92" s="6" customFormat="1" ht="20" customHeight="1"/>
    <row r="93" s="6" customFormat="1" ht="20" customHeight="1"/>
    <row r="94" s="6" customFormat="1" ht="20" customHeight="1"/>
    <row r="95" s="6" customFormat="1" ht="20" customHeight="1"/>
    <row r="96" s="6" customFormat="1" ht="20" customHeight="1"/>
    <row r="97" s="6" customFormat="1" ht="20" customHeight="1"/>
    <row r="98" s="6" customFormat="1" ht="20" customHeight="1"/>
    <row r="99" s="6" customFormat="1" ht="20" customHeight="1"/>
    <row r="100" s="6" customFormat="1" ht="20" customHeight="1"/>
    <row r="101" s="6" customFormat="1" ht="20" customHeight="1"/>
    <row r="102" s="6" customFormat="1" ht="20" customHeight="1"/>
    <row r="103" s="6" customFormat="1" ht="20" customHeight="1"/>
    <row r="104" s="6" customFormat="1" ht="20" customHeight="1"/>
    <row r="105" s="6" customFormat="1" ht="20" customHeight="1"/>
    <row r="106" s="6" customFormat="1" ht="20" customHeight="1"/>
    <row r="107" s="6" customFormat="1" ht="20" customHeight="1"/>
    <row r="108" s="6" customFormat="1" ht="20" customHeight="1"/>
    <row r="109" s="6" customFormat="1" ht="20" customHeight="1"/>
    <row r="110" s="6" customFormat="1" ht="20" customHeight="1"/>
    <row r="111" s="6" customFormat="1" ht="20" customHeight="1"/>
    <row r="112" s="6" customFormat="1" ht="20" customHeight="1"/>
    <row r="113" s="6" customFormat="1" ht="20" customHeight="1"/>
    <row r="114" s="6" customFormat="1" ht="20" customHeight="1"/>
    <row r="115" s="6" customFormat="1" ht="20" customHeight="1"/>
    <row r="116" s="6" customFormat="1" ht="20" customHeight="1"/>
    <row r="117" s="6" customFormat="1" ht="20" customHeight="1"/>
    <row r="118" s="6" customFormat="1" ht="20" customHeight="1"/>
    <row r="119" s="6" customFormat="1" ht="20" customHeight="1"/>
    <row r="120" s="6" customFormat="1" ht="20" customHeight="1"/>
    <row r="121" s="6" customFormat="1" ht="20" customHeight="1"/>
    <row r="122" s="6" customFormat="1" ht="20" customHeight="1"/>
    <row r="123" s="6" customFormat="1" ht="20" customHeight="1"/>
    <row r="124" s="6" customFormat="1" ht="20" customHeight="1"/>
    <row r="125" s="6" customFormat="1" ht="20" customHeight="1"/>
    <row r="126" s="6" customFormat="1" ht="20" customHeight="1"/>
    <row r="127" s="6" customFormat="1" ht="20" customHeight="1"/>
    <row r="128" s="6" customFormat="1" ht="20" customHeight="1"/>
    <row r="129" s="6" customFormat="1" ht="20" customHeight="1"/>
    <row r="130" s="6" customFormat="1" ht="20" customHeight="1"/>
    <row r="131" s="6" customFormat="1" ht="20" customHeight="1"/>
    <row r="132" s="6" customFormat="1" ht="20" customHeight="1"/>
    <row r="133" s="6" customFormat="1" ht="20" customHeight="1"/>
    <row r="134" s="6" customFormat="1" ht="20" customHeight="1"/>
    <row r="135" s="6" customFormat="1" ht="20" customHeight="1"/>
    <row r="136" s="6" customFormat="1" ht="20" customHeight="1"/>
    <row r="137" s="6" customFormat="1" ht="20" customHeight="1"/>
    <row r="138" s="6" customFormat="1" ht="20" customHeight="1"/>
    <row r="139" s="6" customFormat="1" ht="20" customHeight="1"/>
    <row r="140" s="6" customFormat="1" ht="20" customHeight="1"/>
    <row r="141" s="6" customFormat="1" ht="20" customHeight="1"/>
    <row r="142" s="6" customFormat="1" ht="20" customHeight="1"/>
    <row r="143" s="6" customFormat="1" ht="20" customHeight="1"/>
    <row r="144" s="6" customFormat="1" ht="20" customHeight="1"/>
    <row r="145" s="6" customFormat="1" ht="20" customHeight="1"/>
    <row r="146" s="6" customFormat="1" ht="20" customHeight="1"/>
    <row r="147" s="6" customFormat="1" ht="20" customHeight="1"/>
    <row r="148" s="6" customFormat="1" ht="20" customHeight="1"/>
    <row r="149" s="6" customFormat="1" ht="20" customHeight="1"/>
    <row r="150" s="6" customFormat="1" ht="20" customHeight="1"/>
  </sheetData>
  <sheetProtection sheet="1" autoFilter="0"/>
  <mergeCells count="24">
    <mergeCell ref="B1:L1"/>
    <mergeCell ref="C3:D3"/>
    <mergeCell ref="E3:F3"/>
    <mergeCell ref="G3:H3"/>
    <mergeCell ref="B4:L4"/>
    <mergeCell ref="C8:K8"/>
    <mergeCell ref="B13:B14"/>
    <mergeCell ref="C13:D13"/>
    <mergeCell ref="B17:B18"/>
    <mergeCell ref="C17:D17"/>
    <mergeCell ref="B21:B22"/>
    <mergeCell ref="C21:D21"/>
    <mergeCell ref="B25:B26"/>
    <mergeCell ref="C25:D25"/>
    <mergeCell ref="F13:F14"/>
    <mergeCell ref="G13:H13"/>
    <mergeCell ref="F17:F18"/>
    <mergeCell ref="G17:H17"/>
    <mergeCell ref="F21:F22"/>
    <mergeCell ref="G21:H21"/>
    <mergeCell ref="I25:K26"/>
    <mergeCell ref="C28:E28"/>
    <mergeCell ref="C29:E30"/>
    <mergeCell ref="B41:L41"/>
  </mergeCells>
  <hyperlinks>
    <hyperlink ref="B4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Z150"/>
  <sheetViews>
    <sheetView showGridLines="0" workbookViewId="0"/>
  </sheetViews>
  <sheetFormatPr defaultRowHeight="15"/>
  <cols>
    <col min="1" max="2" width="2.7109375" customWidth="1"/>
    <col min="3" max="3" width="25.7109375" customWidth="1"/>
    <col min="4" max="4" width="2.7109375" customWidth="1"/>
    <col min="5" max="5" width="25.7109375" customWidth="1"/>
    <col min="6" max="6" width="2.7109375" customWidth="1"/>
    <col min="7" max="7" width="25.7109375" customWidth="1"/>
    <col min="8" max="8" width="2.7109375" customWidth="1"/>
    <col min="9" max="9" width="25.7109375" customWidth="1"/>
    <col min="10" max="10" width="2.7109375" customWidth="1"/>
    <col min="11" max="11" width="25.7109375" customWidth="1"/>
    <col min="12" max="12" width="2.7109375" customWidth="1"/>
    <col min="26" max="26" width="0" hidden="1" customWidth="1"/>
  </cols>
  <sheetData>
    <row r="1" spans="2:26" ht="30" customHeight="1">
      <c r="B1" s="25" t="s">
        <v>114</v>
      </c>
      <c r="C1" s="25"/>
      <c r="D1" s="25"/>
      <c r="E1" s="25"/>
      <c r="F1" s="25"/>
      <c r="G1" s="25"/>
      <c r="H1" s="25"/>
      <c r="I1" s="25"/>
      <c r="J1" s="25"/>
      <c r="K1" s="25"/>
      <c r="L1" s="25"/>
      <c r="Z1" s="2">
        <f>IFERROR(VLOOKUP(G6,Table_Empreendimentos[[Nome]:[Preço]],2,FALSE),0)</f>
        <v>0</v>
      </c>
    </row>
    <row r="2" spans="2:26" ht="10" customHeight="1">
      <c r="Z2">
        <f>'System Data'!B4</f>
        <v>0</v>
      </c>
    </row>
    <row r="3" spans="2:26" ht="45" customHeight="1">
      <c r="C3" s="4">
        <f>HYPERLINK("#'Laudo de Crédito'!A1", "Laudo de Crédito")</f>
        <v>0</v>
      </c>
      <c r="D3" s="4"/>
      <c r="E3" s="26">
        <f>HYPERLINK("#'Educação Financeira'!A1", "Educação Financeira")</f>
        <v>0</v>
      </c>
      <c r="F3" s="26"/>
      <c r="G3" s="4">
        <f>HYPERLINK("#'Fluxo Mensal'!A1", "Fluxo Mensal")</f>
        <v>0</v>
      </c>
      <c r="H3" s="4"/>
      <c r="Z3">
        <f>'System Data'!B5</f>
        <v>0</v>
      </c>
    </row>
    <row r="4" spans="2:26" ht="35" customHeight="1">
      <c r="B4" s="5" t="s">
        <v>86</v>
      </c>
      <c r="C4" s="5"/>
      <c r="D4" s="5"/>
      <c r="E4" s="5"/>
      <c r="F4" s="5"/>
      <c r="G4" s="5"/>
      <c r="H4" s="5"/>
      <c r="I4" s="5"/>
      <c r="J4" s="5"/>
      <c r="K4" s="5"/>
      <c r="L4" s="5"/>
      <c r="Z4">
        <f>'System Data'!B6</f>
        <v>0</v>
      </c>
    </row>
    <row r="5" spans="2:26" s="6" customFormat="1" ht="20" customHeight="1">
      <c r="Z5" s="6">
        <f>'System Data'!B7</f>
        <v>0</v>
      </c>
    </row>
    <row r="6" spans="2:26" s="6" customFormat="1" ht="20" customHeight="1">
      <c r="C6" s="3" t="s">
        <v>137</v>
      </c>
      <c r="D6" s="3"/>
      <c r="E6" s="3"/>
      <c r="F6" s="3"/>
      <c r="G6" s="3"/>
      <c r="H6" s="3"/>
      <c r="I6" s="3"/>
      <c r="J6" s="3"/>
      <c r="K6" s="3"/>
      <c r="Z6" s="6">
        <f>'System Data'!B8</f>
        <v>0</v>
      </c>
    </row>
    <row r="7" spans="2:26" s="6" customFormat="1" ht="20" customHeight="1">
      <c r="C7" s="8" t="s">
        <v>138</v>
      </c>
      <c r="D7" s="8"/>
      <c r="E7" s="8"/>
      <c r="G7" s="1" t="s">
        <v>139</v>
      </c>
      <c r="Z7" s="6">
        <f>'System Data'!B9</f>
        <v>0</v>
      </c>
    </row>
    <row r="8" spans="2:26" s="6" customFormat="1" ht="20" customHeight="1">
      <c r="C8" s="1" t="s">
        <v>141</v>
      </c>
      <c r="D8" s="8"/>
      <c r="E8" s="8"/>
      <c r="G8" s="43" t="s">
        <v>140</v>
      </c>
      <c r="H8" s="43"/>
      <c r="I8" s="43"/>
      <c r="Z8" s="6">
        <f>'System Data'!B10</f>
        <v>0</v>
      </c>
    </row>
    <row r="9" spans="2:26" s="6" customFormat="1" ht="20" customHeight="1">
      <c r="C9" s="30">
        <f>'Início'!E23</f>
        <v>0</v>
      </c>
      <c r="D9" s="30"/>
      <c r="E9" s="30"/>
      <c r="Z9" s="6">
        <f>'System Data'!B11</f>
        <v>0</v>
      </c>
    </row>
    <row r="10" spans="2:26" ht="25" customHeight="1">
      <c r="C10" s="29" t="s">
        <v>142</v>
      </c>
      <c r="D10" s="29"/>
      <c r="E10" s="29"/>
      <c r="F10" s="29"/>
      <c r="G10" s="29"/>
      <c r="H10" s="29"/>
      <c r="I10" s="29"/>
      <c r="Z10">
        <f>'System Data'!B12</f>
        <v>0</v>
      </c>
    </row>
    <row r="11" spans="2:26" s="6" customFormat="1" ht="20" customHeight="1">
      <c r="Z11" s="6">
        <f>'System Data'!B13</f>
        <v>0</v>
      </c>
    </row>
    <row r="12" spans="2:26" s="6" customFormat="1" ht="20" customHeight="1">
      <c r="C12" s="3" t="s">
        <v>143</v>
      </c>
      <c r="Z12" s="6">
        <f>'System Data'!B14</f>
        <v>0</v>
      </c>
    </row>
    <row r="13" spans="2:26" s="6" customFormat="1" ht="20" customHeight="1">
      <c r="C13" s="1" t="s">
        <v>144</v>
      </c>
      <c r="E13" s="44">
        <v>8000</v>
      </c>
      <c r="G13" s="42">
        <f>IF(E13&gt;0, REPT("█", INT(MIN(20, E13/1000))), "")</f>
        <v>0</v>
      </c>
      <c r="Z13" s="6">
        <f>'System Data'!B15</f>
        <v>0</v>
      </c>
    </row>
    <row r="14" spans="2:26" s="6" customFormat="1" ht="20" customHeight="1">
      <c r="Z14" s="6">
        <f>'System Data'!B16</f>
        <v>0</v>
      </c>
    </row>
    <row r="15" spans="2:26" s="6" customFormat="1" ht="20" customHeight="1">
      <c r="C15" s="3" t="s">
        <v>145</v>
      </c>
      <c r="Z15" s="6">
        <f>'System Data'!B17</f>
        <v>0</v>
      </c>
    </row>
    <row r="16" spans="2:26" s="6" customFormat="1" ht="20" customHeight="1">
      <c r="Z16" s="6">
        <f>'System Data'!B18</f>
        <v>0</v>
      </c>
    </row>
    <row r="17" spans="3:26" s="6" customFormat="1" ht="20" customHeight="1">
      <c r="C17" s="1" t="s">
        <v>146</v>
      </c>
      <c r="E17" s="44">
        <v>1200</v>
      </c>
      <c r="G17" s="40">
        <f>IF(E17&gt;0, REPT("█", INT(MIN(20, E17/500))), "")</f>
        <v>0</v>
      </c>
      <c r="Z17" s="6">
        <f>'System Data'!B19</f>
        <v>0</v>
      </c>
    </row>
    <row r="18" spans="3:26" s="6" customFormat="1" ht="20" customHeight="1">
      <c r="C18" s="1" t="s">
        <v>147</v>
      </c>
      <c r="E18" s="44">
        <v>800</v>
      </c>
      <c r="G18" s="40">
        <f>IF(E18&gt;0, REPT("█", INT(MIN(20, E18/500))), "")</f>
        <v>0</v>
      </c>
      <c r="Z18" s="6">
        <f>'System Data'!B20</f>
        <v>0</v>
      </c>
    </row>
    <row r="19" spans="3:26" s="6" customFormat="1" ht="20" customHeight="1">
      <c r="C19" s="1" t="s">
        <v>148</v>
      </c>
      <c r="E19" s="44">
        <v>400</v>
      </c>
      <c r="G19" s="40">
        <f>IF(E19&gt;0, REPT("█", INT(MIN(20, E19/500))), "")</f>
        <v>0</v>
      </c>
      <c r="Z19" s="6">
        <f>'System Data'!B21</f>
        <v>0</v>
      </c>
    </row>
    <row r="20" spans="3:26" s="6" customFormat="1" ht="20" customHeight="1">
      <c r="C20" s="1" t="s">
        <v>149</v>
      </c>
      <c r="E20" s="44">
        <v>0</v>
      </c>
      <c r="G20" s="40">
        <f>IF(E20&gt;0, REPT("█", INT(MIN(20, E20/500))), "")</f>
        <v>0</v>
      </c>
      <c r="Z20" s="6">
        <f>'System Data'!B22</f>
        <v>0</v>
      </c>
    </row>
    <row r="21" spans="3:26" s="6" customFormat="1" ht="20" customHeight="1">
      <c r="Z21" s="6">
        <f>'System Data'!B23</f>
        <v>0</v>
      </c>
    </row>
    <row r="22" spans="3:26" s="6" customFormat="1" ht="20" customHeight="1">
      <c r="C22" s="1" t="s">
        <v>150</v>
      </c>
      <c r="E22" s="45">
        <f>SUM(E17:E21)</f>
        <v>0</v>
      </c>
      <c r="Z22" s="6">
        <f>'System Data'!B24</f>
        <v>0</v>
      </c>
    </row>
    <row r="23" spans="3:26" s="6" customFormat="1" ht="20" customHeight="1"/>
    <row r="24" spans="3:26" s="6" customFormat="1" ht="20" customHeight="1">
      <c r="C24" s="1" t="s">
        <v>151</v>
      </c>
      <c r="E24" s="44">
        <v>30000</v>
      </c>
      <c r="G24" s="39">
        <f>IF(E24&gt;0, REPT("█", INT(MIN(20, E24/2000))), "")</f>
        <v>0</v>
      </c>
    </row>
    <row r="25" spans="3:26" s="6" customFormat="1" ht="20" customHeight="1"/>
    <row r="26" spans="3:26" s="6" customFormat="1" ht="20" customHeight="1">
      <c r="C26" s="1" t="s">
        <v>152</v>
      </c>
      <c r="E26" s="46" t="s">
        <v>153</v>
      </c>
    </row>
    <row r="27" spans="3:26" s="6" customFormat="1" ht="20" customHeight="1"/>
    <row r="28" spans="3:26" s="6" customFormat="1" ht="20" customHeight="1">
      <c r="C28" s="3" t="s">
        <v>154</v>
      </c>
    </row>
    <row r="29" spans="3:26" s="6" customFormat="1" ht="20" customHeight="1">
      <c r="C29" s="1" t="s">
        <v>155</v>
      </c>
      <c r="E29" s="2">
        <f>MAX(0, (E13*0.30)*150)</f>
        <v>0</v>
      </c>
      <c r="G29" s="47">
        <f>IF(E22/E13 &gt; 0.4, "⚠️ ALERTA: Comprometimento Alto", "✅ SAUDÁVEL: Perfil Positivo")</f>
        <v>0</v>
      </c>
      <c r="H29" s="48"/>
      <c r="I29" s="48"/>
    </row>
    <row r="30" spans="3:26" s="6" customFormat="1" ht="20" customHeight="1">
      <c r="C30" s="1" t="s">
        <v>156</v>
      </c>
      <c r="E30" s="2">
        <f>IF(E13&lt;=2640, 55000, IF(E13&lt;=4400, 35000, 0))</f>
        <v>0</v>
      </c>
      <c r="G30" s="48"/>
      <c r="H30" s="48"/>
      <c r="I30" s="48"/>
    </row>
    <row r="31" spans="3:26" s="6" customFormat="1" ht="20" customHeight="1">
      <c r="C31" s="3" t="s">
        <v>157</v>
      </c>
      <c r="E31" s="49">
        <f>E29 + E30 + E24</f>
        <v>0</v>
      </c>
      <c r="G31" s="48"/>
      <c r="H31" s="48"/>
      <c r="I31" s="48"/>
    </row>
    <row r="32" spans="3:26" s="6" customFormat="1" ht="20" customHeight="1"/>
    <row r="33" spans="2:12" s="6" customFormat="1" ht="20" customHeight="1">
      <c r="C33" s="1" t="s">
        <v>158</v>
      </c>
      <c r="E33" s="2">
        <f>E13 * 0.28</f>
        <v>0</v>
      </c>
    </row>
    <row r="34" spans="2:12" s="6" customFormat="1" ht="20" customHeight="1"/>
    <row r="35" spans="2:12" s="6" customFormat="1" ht="20" customHeight="1"/>
    <row r="36" spans="2:12" s="6" customFormat="1" ht="20" customHeight="1"/>
    <row r="37" spans="2:12" s="6" customFormat="1" ht="20" customHeight="1"/>
    <row r="38" spans="2:12" s="6" customFormat="1" ht="20" customHeight="1"/>
    <row r="39" spans="2:12" s="6" customFormat="1" ht="20" customHeight="1"/>
    <row r="40" spans="2:12" s="6" customFormat="1" ht="20" customHeight="1"/>
    <row r="41" spans="2:12" ht="30" customHeight="1">
      <c r="B41" s="24" t="s">
        <v>113</v>
      </c>
      <c r="C41" s="24"/>
      <c r="D41" s="24"/>
      <c r="E41" s="24"/>
      <c r="F41" s="24"/>
      <c r="G41" s="24"/>
      <c r="H41" s="24"/>
      <c r="I41" s="24"/>
      <c r="J41" s="24"/>
      <c r="K41" s="24"/>
      <c r="L41" s="24"/>
    </row>
    <row r="42" spans="2:12" s="6" customFormat="1" ht="20" customHeight="1"/>
    <row r="43" spans="2:12" s="6" customFormat="1" ht="20" customHeight="1"/>
    <row r="44" spans="2:12" s="6" customFormat="1" ht="20" customHeight="1"/>
    <row r="45" spans="2:12" s="6" customFormat="1" ht="20" customHeight="1"/>
    <row r="46" spans="2:12" s="6" customFormat="1" ht="20" customHeight="1"/>
    <row r="47" spans="2:12" s="6" customFormat="1" ht="20" customHeight="1"/>
    <row r="48" spans="2:12" s="6" customFormat="1" ht="20" customHeight="1"/>
    <row r="49" s="6" customFormat="1" ht="20" customHeight="1"/>
    <row r="50" s="6" customFormat="1" ht="20" customHeight="1"/>
    <row r="51" s="6" customFormat="1" ht="20" customHeight="1"/>
    <row r="52" s="6" customFormat="1" ht="20" customHeight="1"/>
    <row r="53" s="6" customFormat="1" ht="20" customHeight="1"/>
    <row r="54" s="6" customFormat="1" ht="20" customHeight="1"/>
    <row r="55" s="6" customFormat="1" ht="20" customHeight="1"/>
    <row r="56" s="6" customFormat="1" ht="20" customHeight="1"/>
    <row r="57" s="6" customFormat="1" ht="20" customHeight="1"/>
    <row r="58" s="6" customFormat="1" ht="20" customHeight="1"/>
    <row r="59" s="6" customFormat="1" ht="20" customHeight="1"/>
    <row r="60" s="6" customFormat="1" ht="20" customHeight="1"/>
    <row r="61" s="6" customFormat="1" ht="20" customHeight="1"/>
    <row r="62" s="6" customFormat="1" ht="20" customHeight="1"/>
    <row r="63" s="6" customFormat="1" ht="20" customHeight="1"/>
    <row r="64" s="6" customFormat="1" ht="20" customHeight="1"/>
    <row r="65" s="6" customFormat="1" ht="20" customHeight="1"/>
    <row r="66" s="6" customFormat="1" ht="20" customHeight="1"/>
    <row r="67" s="6" customFormat="1" ht="20" customHeight="1"/>
    <row r="68" s="6" customFormat="1" ht="20" customHeight="1"/>
    <row r="69" s="6" customFormat="1" ht="20" customHeight="1"/>
    <row r="70" s="6" customFormat="1" ht="20" customHeight="1"/>
    <row r="71" s="6" customFormat="1" ht="20" customHeight="1"/>
    <row r="72" s="6" customFormat="1" ht="20" customHeight="1"/>
    <row r="73" s="6" customFormat="1" ht="20" customHeight="1"/>
    <row r="74" s="6" customFormat="1" ht="20" customHeight="1"/>
    <row r="75" s="6" customFormat="1" ht="20" customHeight="1"/>
    <row r="76" s="6" customFormat="1" ht="20" customHeight="1"/>
    <row r="77" s="6" customFormat="1" ht="20" customHeight="1"/>
    <row r="78" s="6" customFormat="1" ht="20" customHeight="1"/>
    <row r="79" s="6" customFormat="1" ht="20" customHeight="1"/>
    <row r="80" s="6" customFormat="1" ht="20" customHeight="1"/>
    <row r="81" s="6" customFormat="1" ht="20" customHeight="1"/>
    <row r="82" s="6" customFormat="1" ht="20" customHeight="1"/>
    <row r="83" s="6" customFormat="1" ht="20" customHeight="1"/>
    <row r="84" s="6" customFormat="1" ht="20" customHeight="1"/>
    <row r="85" s="6" customFormat="1" ht="20" customHeight="1"/>
    <row r="86" s="6" customFormat="1" ht="20" customHeight="1"/>
    <row r="87" s="6" customFormat="1" ht="20" customHeight="1"/>
    <row r="88" s="6" customFormat="1" ht="20" customHeight="1"/>
    <row r="89" s="6" customFormat="1" ht="20" customHeight="1"/>
    <row r="90" s="6" customFormat="1" ht="20" customHeight="1"/>
    <row r="91" s="6" customFormat="1" ht="20" customHeight="1"/>
    <row r="92" s="6" customFormat="1" ht="20" customHeight="1"/>
    <row r="93" s="6" customFormat="1" ht="20" customHeight="1"/>
    <row r="94" s="6" customFormat="1" ht="20" customHeight="1"/>
    <row r="95" s="6" customFormat="1" ht="20" customHeight="1"/>
    <row r="96" s="6" customFormat="1" ht="20" customHeight="1"/>
    <row r="97" s="6" customFormat="1" ht="20" customHeight="1"/>
    <row r="98" s="6" customFormat="1" ht="20" customHeight="1"/>
    <row r="99" s="6" customFormat="1" ht="20" customHeight="1"/>
    <row r="100" s="6" customFormat="1" ht="20" customHeight="1"/>
    <row r="101" s="6" customFormat="1" ht="20" customHeight="1"/>
    <row r="102" s="6" customFormat="1" ht="20" customHeight="1"/>
    <row r="103" s="6" customFormat="1" ht="20" customHeight="1"/>
    <row r="104" s="6" customFormat="1" ht="20" customHeight="1"/>
    <row r="105" s="6" customFormat="1" ht="20" customHeight="1"/>
    <row r="106" s="6" customFormat="1" ht="20" customHeight="1"/>
    <row r="107" s="6" customFormat="1" ht="20" customHeight="1"/>
    <row r="108" s="6" customFormat="1" ht="20" customHeight="1"/>
    <row r="109" s="6" customFormat="1" ht="20" customHeight="1"/>
    <row r="110" s="6" customFormat="1" ht="20" customHeight="1"/>
    <row r="111" s="6" customFormat="1" ht="20" customHeight="1"/>
    <row r="112" s="6" customFormat="1" ht="20" customHeight="1"/>
    <row r="113" s="6" customFormat="1" ht="20" customHeight="1"/>
    <row r="114" s="6" customFormat="1" ht="20" customHeight="1"/>
    <row r="115" s="6" customFormat="1" ht="20" customHeight="1"/>
    <row r="116" s="6" customFormat="1" ht="20" customHeight="1"/>
    <row r="117" s="6" customFormat="1" ht="20" customHeight="1"/>
    <row r="118" s="6" customFormat="1" ht="20" customHeight="1"/>
    <row r="119" s="6" customFormat="1" ht="20" customHeight="1"/>
    <row r="120" s="6" customFormat="1" ht="20" customHeight="1"/>
    <row r="121" s="6" customFormat="1" ht="20" customHeight="1"/>
    <row r="122" s="6" customFormat="1" ht="20" customHeight="1"/>
    <row r="123" s="6" customFormat="1" ht="20" customHeight="1"/>
    <row r="124" s="6" customFormat="1" ht="20" customHeight="1"/>
    <row r="125" s="6" customFormat="1" ht="20" customHeight="1"/>
    <row r="126" s="6" customFormat="1" ht="20" customHeight="1"/>
    <row r="127" s="6" customFormat="1" ht="20" customHeight="1"/>
    <row r="128" s="6" customFormat="1" ht="20" customHeight="1"/>
    <row r="129" s="6" customFormat="1" ht="20" customHeight="1"/>
    <row r="130" s="6" customFormat="1" ht="20" customHeight="1"/>
    <row r="131" s="6" customFormat="1" ht="20" customHeight="1"/>
    <row r="132" s="6" customFormat="1" ht="20" customHeight="1"/>
    <row r="133" s="6" customFormat="1" ht="20" customHeight="1"/>
    <row r="134" s="6" customFormat="1" ht="20" customHeight="1"/>
    <row r="135" s="6" customFormat="1" ht="20" customHeight="1"/>
    <row r="136" s="6" customFormat="1" ht="20" customHeight="1"/>
    <row r="137" s="6" customFormat="1" ht="20" customHeight="1"/>
    <row r="138" s="6" customFormat="1" ht="20" customHeight="1"/>
    <row r="139" s="6" customFormat="1" ht="20" customHeight="1"/>
    <row r="140" s="6" customFormat="1" ht="20" customHeight="1"/>
    <row r="141" s="6" customFormat="1" ht="20" customHeight="1"/>
    <row r="142" s="6" customFormat="1" ht="20" customHeight="1"/>
    <row r="143" s="6" customFormat="1" ht="20" customHeight="1"/>
    <row r="144" s="6" customFormat="1" ht="20" customHeight="1"/>
    <row r="145" s="6" customFormat="1" ht="20" customHeight="1"/>
    <row r="146" s="6" customFormat="1" ht="20" customHeight="1"/>
    <row r="147" s="6" customFormat="1" ht="20" customHeight="1"/>
    <row r="148" s="6" customFormat="1" ht="20" customHeight="1"/>
    <row r="149" s="6" customFormat="1" ht="20" customHeight="1"/>
    <row r="150" s="6" customFormat="1" ht="20" customHeight="1"/>
  </sheetData>
  <sheetProtection sheet="1" autoFilter="0"/>
  <mergeCells count="12">
    <mergeCell ref="B1:L1"/>
    <mergeCell ref="C3:D3"/>
    <mergeCell ref="E3:F3"/>
    <mergeCell ref="G3:H3"/>
    <mergeCell ref="B4:L4"/>
    <mergeCell ref="C6:K6"/>
    <mergeCell ref="C7:E8"/>
    <mergeCell ref="G8:I8"/>
    <mergeCell ref="C9:E9"/>
    <mergeCell ref="C10:I10"/>
    <mergeCell ref="G29:I31"/>
    <mergeCell ref="B41:L41"/>
  </mergeCells>
  <dataValidations count="2">
    <dataValidation type="list" allowBlank="1" showInputMessage="1" showErrorMessage="1" sqref="G6">
      <formula1>$Z$2:$Z$22</formula1>
    </dataValidation>
    <dataValidation type="list" allowBlank="1" showInputMessage="1" showErrorMessage="1" sqref="E26">
      <formula1>"SIM,NÃO"</formula1>
    </dataValidation>
  </dataValidations>
  <hyperlinks>
    <hyperlink ref="B4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50"/>
  <sheetViews>
    <sheetView showGridLines="0" workbookViewId="0"/>
  </sheetViews>
  <sheetFormatPr defaultRowHeight="15"/>
  <cols>
    <col min="1" max="1" width="3.7109375" customWidth="1"/>
    <col min="2" max="2" width="12.7109375" customWidth="1"/>
    <col min="3" max="3" width="15.7109375" customWidth="1"/>
    <col min="4" max="7" width="20.7109375" customWidth="1"/>
    <col min="8" max="8" width="22.7109375" customWidth="1"/>
    <col min="9" max="9" width="25.7109375" customWidth="1"/>
    <col min="10" max="10" width="2.7109375" customWidth="1"/>
    <col min="11" max="11" width="25.7109375" customWidth="1"/>
    <col min="12" max="12" width="2.7109375" customWidth="1"/>
  </cols>
  <sheetData>
    <row r="1" spans="2:12" ht="30" customHeight="1">
      <c r="B1" s="25" t="s">
        <v>114</v>
      </c>
      <c r="C1" s="25"/>
      <c r="D1" s="25"/>
      <c r="E1" s="25"/>
      <c r="F1" s="25"/>
      <c r="G1" s="25"/>
      <c r="H1" s="25"/>
      <c r="I1" s="25"/>
      <c r="J1" s="25"/>
      <c r="K1" s="25"/>
      <c r="L1" s="25"/>
    </row>
    <row r="2" spans="2:12" ht="10" customHeight="1"/>
    <row r="3" spans="2:12" ht="45" customHeight="1">
      <c r="C3" s="4">
        <f>HYPERLINK("#'Laudo de Crédito'!A1", "Laudo de Crédito")</f>
        <v>0</v>
      </c>
      <c r="D3" s="4"/>
      <c r="E3" s="4">
        <f>HYPERLINK("#'Educação Financeira'!A1", "Educação Financeira")</f>
        <v>0</v>
      </c>
      <c r="F3" s="4"/>
      <c r="G3" s="26">
        <f>HYPERLINK("#'Fluxo Mensal'!A1", "Fluxo Mensal")</f>
        <v>0</v>
      </c>
      <c r="H3" s="26"/>
    </row>
    <row r="4" spans="2:12" ht="35" customHeight="1">
      <c r="B4" s="5" t="s">
        <v>86</v>
      </c>
      <c r="C4" s="5"/>
      <c r="D4" s="5"/>
      <c r="E4" s="5"/>
      <c r="F4" s="5"/>
      <c r="G4" s="5"/>
      <c r="H4" s="5"/>
      <c r="I4" s="5"/>
      <c r="J4" s="5"/>
      <c r="K4" s="5"/>
      <c r="L4" s="5"/>
    </row>
    <row r="5" spans="2:12" s="6" customFormat="1" ht="20" customHeight="1"/>
    <row r="6" spans="2:12" s="6" customFormat="1" ht="20" customHeight="1">
      <c r="C6" s="3" t="s">
        <v>159</v>
      </c>
    </row>
    <row r="7" spans="2:12" s="6" customFormat="1" ht="20" customHeight="1">
      <c r="C7" s="8" t="s">
        <v>160</v>
      </c>
    </row>
    <row r="8" spans="2:12" s="6" customFormat="1" ht="20" customHeight="1">
      <c r="D8" s="30">
        <f>"Plano Mensal para: " &amp; 'Início'!C22</f>
        <v>0</v>
      </c>
    </row>
    <row r="9" spans="2:12" s="6" customFormat="1" ht="20" customHeight="1">
      <c r="C9" s="50" t="s">
        <v>161</v>
      </c>
      <c r="D9" s="50"/>
      <c r="E9" s="50"/>
      <c r="F9" s="50" t="s">
        <v>162</v>
      </c>
      <c r="G9" s="50"/>
    </row>
    <row r="10" spans="2:12" s="6" customFormat="1" ht="20" customHeight="1">
      <c r="C10" s="51">
        <f>SUMIF(B13:B100, "Sim", D13:D100) + SUMIF(B13:B100, "Sim", E13:E100)</f>
        <v>0</v>
      </c>
      <c r="D10" s="51"/>
      <c r="E10" s="51"/>
      <c r="F10" s="52">
        <f>('Educação Financeira'!E31) - (SUMIF(B13:B100, "Sim", D13:D100) + SUMIF(B13:B100, "Sim", E13:E100))</f>
        <v>0</v>
      </c>
      <c r="G10" s="52"/>
    </row>
    <row r="11" spans="2:12" s="6" customFormat="1" ht="20" customHeight="1">
      <c r="C11" s="51"/>
      <c r="D11" s="51"/>
      <c r="E11" s="51"/>
      <c r="F11" s="52"/>
      <c r="G11" s="52"/>
    </row>
    <row r="12" spans="2:12" s="6" customFormat="1" ht="20" customHeight="1">
      <c r="B12" s="53" t="s">
        <v>163</v>
      </c>
      <c r="C12" s="53" t="s">
        <v>164</v>
      </c>
      <c r="D12" s="53" t="s">
        <v>165</v>
      </c>
      <c r="E12" s="53" t="s">
        <v>166</v>
      </c>
      <c r="F12" s="53" t="s">
        <v>167</v>
      </c>
      <c r="G12" s="53" t="s">
        <v>168</v>
      </c>
      <c r="H12" s="53" t="s">
        <v>169</v>
      </c>
    </row>
    <row r="13" spans="2:12" s="6" customFormat="1" ht="20" customHeight="1">
      <c r="B13" s="54" t="s">
        <v>170</v>
      </c>
      <c r="C13" s="55">
        <f>EDATE(TODAY(), 0)</f>
        <v>0</v>
      </c>
      <c r="D13" s="2">
        <f>MAX(0, 'Educação Financeira'!$E$33 * 0.5)</f>
        <v>0</v>
      </c>
      <c r="E13" s="2">
        <f>IF(MONTH(C13)=12, 'Educação Financeira'!$E$13 * 0.5, 0)</f>
        <v>0</v>
      </c>
      <c r="F13" s="56">
        <f>'Educação Financeira'!$E$24 + IF(B13="Sim", D13 + E13, 0)</f>
        <v>0</v>
      </c>
      <c r="G13" s="57">
        <f>('Educação Financeira'!E31)</f>
        <v>0</v>
      </c>
      <c r="H13" s="58">
        <f>IF(F13&gt;=G13, "✅ ATINGIDA", "⏳ EM CURSO")</f>
        <v>0</v>
      </c>
    </row>
    <row r="14" spans="2:12" s="6" customFormat="1" ht="20" customHeight="1">
      <c r="B14" s="54" t="s">
        <v>170</v>
      </c>
      <c r="C14" s="55">
        <f>EDATE(TODAY(), 1)</f>
        <v>0</v>
      </c>
      <c r="D14" s="2">
        <f>MAX(0, 'Educação Financeira'!$E$33 * 0.5)</f>
        <v>0</v>
      </c>
      <c r="E14" s="2">
        <f>IF(MONTH(C14)=12, 'Educação Financeira'!$E$13 * 0.5, 0)</f>
        <v>0</v>
      </c>
      <c r="F14" s="56">
        <f>F13 + IF(B14="Sim", D14 + E14, 0)</f>
        <v>0</v>
      </c>
      <c r="G14" s="57">
        <f>('Educação Financeira'!E31)</f>
        <v>0</v>
      </c>
      <c r="H14" s="58">
        <f>IF(F14&gt;=G14, "✅ ATINGIDA", "⏳ EM CURSO")</f>
        <v>0</v>
      </c>
    </row>
    <row r="15" spans="2:12" s="6" customFormat="1" ht="20" customHeight="1">
      <c r="B15" s="54" t="s">
        <v>170</v>
      </c>
      <c r="C15" s="55">
        <f>EDATE(TODAY(), 2)</f>
        <v>0</v>
      </c>
      <c r="D15" s="2">
        <f>MAX(0, 'Educação Financeira'!$E$33 * 0.5)</f>
        <v>0</v>
      </c>
      <c r="E15" s="2">
        <f>IF(MONTH(C15)=12, 'Educação Financeira'!$E$13 * 0.5, 0)</f>
        <v>0</v>
      </c>
      <c r="F15" s="56">
        <f>F14 + IF(B15="Sim", D15 + E15, 0)</f>
        <v>0</v>
      </c>
      <c r="G15" s="57">
        <f>('Educação Financeira'!E31)</f>
        <v>0</v>
      </c>
      <c r="H15" s="58">
        <f>IF(F15&gt;=G15, "✅ ATINGIDA", "⏳ EM CURSO")</f>
        <v>0</v>
      </c>
    </row>
    <row r="16" spans="2:12" s="6" customFormat="1" ht="20" customHeight="1">
      <c r="B16" s="54" t="s">
        <v>170</v>
      </c>
      <c r="C16" s="55">
        <f>EDATE(TODAY(), 3)</f>
        <v>0</v>
      </c>
      <c r="D16" s="2">
        <f>MAX(0, 'Educação Financeira'!$E$33 * 0.5)</f>
        <v>0</v>
      </c>
      <c r="E16" s="2">
        <f>IF(MONTH(C16)=12, 'Educação Financeira'!$E$13 * 0.5, 0)</f>
        <v>0</v>
      </c>
      <c r="F16" s="56">
        <f>F15 + IF(B16="Sim", D16 + E16, 0)</f>
        <v>0</v>
      </c>
      <c r="G16" s="57">
        <f>('Educação Financeira'!E31)</f>
        <v>0</v>
      </c>
      <c r="H16" s="58">
        <f>IF(F16&gt;=G16, "✅ ATINGIDA", "⏳ EM CURSO")</f>
        <v>0</v>
      </c>
    </row>
    <row r="17" spans="2:8" s="6" customFormat="1" ht="20" customHeight="1">
      <c r="B17" s="54" t="s">
        <v>170</v>
      </c>
      <c r="C17" s="55">
        <f>EDATE(TODAY(), 4)</f>
        <v>0</v>
      </c>
      <c r="D17" s="2">
        <f>MAX(0, 'Educação Financeira'!$E$33 * 0.5)</f>
        <v>0</v>
      </c>
      <c r="E17" s="2">
        <f>IF(MONTH(C17)=12, 'Educação Financeira'!$E$13 * 0.5, 0)</f>
        <v>0</v>
      </c>
      <c r="F17" s="56">
        <f>F16 + IF(B17="Sim", D17 + E17, 0)</f>
        <v>0</v>
      </c>
      <c r="G17" s="57">
        <f>('Educação Financeira'!E31)</f>
        <v>0</v>
      </c>
      <c r="H17" s="58">
        <f>IF(F17&gt;=G17, "✅ ATINGIDA", "⏳ EM CURSO")</f>
        <v>0</v>
      </c>
    </row>
    <row r="18" spans="2:8" s="6" customFormat="1" ht="20" customHeight="1">
      <c r="B18" s="54" t="s">
        <v>170</v>
      </c>
      <c r="C18" s="55">
        <f>EDATE(TODAY(), 5)</f>
        <v>0</v>
      </c>
      <c r="D18" s="2">
        <f>MAX(0, 'Educação Financeira'!$E$33 * 0.5)</f>
        <v>0</v>
      </c>
      <c r="E18" s="2">
        <f>IF(MONTH(C18)=12, 'Educação Financeira'!$E$13 * 0.5, 0)</f>
        <v>0</v>
      </c>
      <c r="F18" s="56">
        <f>F17 + IF(B18="Sim", D18 + E18, 0)</f>
        <v>0</v>
      </c>
      <c r="G18" s="57">
        <f>('Educação Financeira'!E31)</f>
        <v>0</v>
      </c>
      <c r="H18" s="58">
        <f>IF(F18&gt;=G18, "✅ ATINGIDA", "⏳ EM CURSO")</f>
        <v>0</v>
      </c>
    </row>
    <row r="19" spans="2:8" s="6" customFormat="1" ht="20" customHeight="1">
      <c r="B19" s="54" t="s">
        <v>170</v>
      </c>
      <c r="C19" s="55">
        <f>EDATE(TODAY(), 6)</f>
        <v>0</v>
      </c>
      <c r="D19" s="2">
        <f>MAX(0, 'Educação Financeira'!$E$33 * 0.5)</f>
        <v>0</v>
      </c>
      <c r="E19" s="2">
        <f>IF(MONTH(C19)=12, 'Educação Financeira'!$E$13 * 0.5, 0)</f>
        <v>0</v>
      </c>
      <c r="F19" s="56">
        <f>F18 + IF(B19="Sim", D19 + E19, 0)</f>
        <v>0</v>
      </c>
      <c r="G19" s="57">
        <f>('Educação Financeira'!E31)</f>
        <v>0</v>
      </c>
      <c r="H19" s="58">
        <f>IF(F19&gt;=G19, "✅ ATINGIDA", "⏳ EM CURSO")</f>
        <v>0</v>
      </c>
    </row>
    <row r="20" spans="2:8" s="6" customFormat="1" ht="20" customHeight="1">
      <c r="B20" s="54" t="s">
        <v>170</v>
      </c>
      <c r="C20" s="55">
        <f>EDATE(TODAY(), 7)</f>
        <v>0</v>
      </c>
      <c r="D20" s="2">
        <f>MAX(0, 'Educação Financeira'!$E$33 * 0.5)</f>
        <v>0</v>
      </c>
      <c r="E20" s="2">
        <f>IF(MONTH(C20)=12, 'Educação Financeira'!$E$13 * 0.5, 0)</f>
        <v>0</v>
      </c>
      <c r="F20" s="56">
        <f>F19 + IF(B20="Sim", D20 + E20, 0)</f>
        <v>0</v>
      </c>
      <c r="G20" s="57">
        <f>('Educação Financeira'!E31)</f>
        <v>0</v>
      </c>
      <c r="H20" s="58">
        <f>IF(F20&gt;=G20, "✅ ATINGIDA", "⏳ EM CURSO")</f>
        <v>0</v>
      </c>
    </row>
    <row r="21" spans="2:8" s="6" customFormat="1" ht="20" customHeight="1">
      <c r="B21" s="54" t="s">
        <v>170</v>
      </c>
      <c r="C21" s="55">
        <f>EDATE(TODAY(), 8)</f>
        <v>0</v>
      </c>
      <c r="D21" s="2">
        <f>MAX(0, 'Educação Financeira'!$E$33 * 0.5)</f>
        <v>0</v>
      </c>
      <c r="E21" s="2">
        <f>IF(MONTH(C21)=12, 'Educação Financeira'!$E$13 * 0.5, 0)</f>
        <v>0</v>
      </c>
      <c r="F21" s="56">
        <f>F20 + IF(B21="Sim", D21 + E21, 0)</f>
        <v>0</v>
      </c>
      <c r="G21" s="57">
        <f>('Educação Financeira'!E31)</f>
        <v>0</v>
      </c>
      <c r="H21" s="58">
        <f>IF(F21&gt;=G21, "✅ ATINGIDA", "⏳ EM CURSO")</f>
        <v>0</v>
      </c>
    </row>
    <row r="22" spans="2:8" s="6" customFormat="1" ht="20" customHeight="1">
      <c r="B22" s="54" t="s">
        <v>170</v>
      </c>
      <c r="C22" s="55">
        <f>EDATE(TODAY(), 9)</f>
        <v>0</v>
      </c>
      <c r="D22" s="2">
        <f>MAX(0, 'Educação Financeira'!$E$33 * 0.5)</f>
        <v>0</v>
      </c>
      <c r="E22" s="2">
        <f>IF(MONTH(C22)=12, 'Educação Financeira'!$E$13 * 0.5, 0)</f>
        <v>0</v>
      </c>
      <c r="F22" s="56">
        <f>F21 + IF(B22="Sim", D22 + E22, 0)</f>
        <v>0</v>
      </c>
      <c r="G22" s="57">
        <f>('Educação Financeira'!E31)</f>
        <v>0</v>
      </c>
      <c r="H22" s="58">
        <f>IF(F22&gt;=G22, "✅ ATINGIDA", "⏳ EM CURSO")</f>
        <v>0</v>
      </c>
    </row>
    <row r="23" spans="2:8" s="6" customFormat="1" ht="20" customHeight="1">
      <c r="B23" s="54" t="s">
        <v>170</v>
      </c>
      <c r="C23" s="55">
        <f>EDATE(TODAY(), 10)</f>
        <v>0</v>
      </c>
      <c r="D23" s="2">
        <f>MAX(0, 'Educação Financeira'!$E$33 * 0.5)</f>
        <v>0</v>
      </c>
      <c r="E23" s="2">
        <f>IF(MONTH(C23)=12, 'Educação Financeira'!$E$13 * 0.5, 0)</f>
        <v>0</v>
      </c>
      <c r="F23" s="56">
        <f>F22 + IF(B23="Sim", D23 + E23, 0)</f>
        <v>0</v>
      </c>
      <c r="G23" s="57">
        <f>('Educação Financeira'!E31)</f>
        <v>0</v>
      </c>
      <c r="H23" s="58">
        <f>IF(F23&gt;=G23, "✅ ATINGIDA", "⏳ EM CURSO")</f>
        <v>0</v>
      </c>
    </row>
    <row r="24" spans="2:8" s="6" customFormat="1" ht="20" customHeight="1">
      <c r="B24" s="54" t="s">
        <v>170</v>
      </c>
      <c r="C24" s="55">
        <f>EDATE(TODAY(), 11)</f>
        <v>0</v>
      </c>
      <c r="D24" s="2">
        <f>MAX(0, 'Educação Financeira'!$E$33 * 0.5)</f>
        <v>0</v>
      </c>
      <c r="E24" s="2">
        <f>IF(MONTH(C24)=12, 'Educação Financeira'!$E$13 * 0.5, 0)</f>
        <v>0</v>
      </c>
      <c r="F24" s="56">
        <f>F23 + IF(B24="Sim", D24 + E24, 0)</f>
        <v>0</v>
      </c>
      <c r="G24" s="57">
        <f>('Educação Financeira'!E31)</f>
        <v>0</v>
      </c>
      <c r="H24" s="58">
        <f>IF(F24&gt;=G24, "✅ ATINGIDA", "⏳ EM CURSO")</f>
        <v>0</v>
      </c>
    </row>
    <row r="25" spans="2:8" s="6" customFormat="1" ht="20" customHeight="1">
      <c r="B25" s="54" t="s">
        <v>170</v>
      </c>
      <c r="C25" s="55">
        <f>EDATE(TODAY(), 12)</f>
        <v>0</v>
      </c>
      <c r="D25" s="2">
        <f>MAX(0, 'Educação Financeira'!$E$33 * 0.5)</f>
        <v>0</v>
      </c>
      <c r="E25" s="2">
        <f>IF(MONTH(C25)=12, 'Educação Financeira'!$E$13 * 0.5, 0)</f>
        <v>0</v>
      </c>
      <c r="F25" s="56">
        <f>F24 + IF(B25="Sim", D25 + E25, 0)</f>
        <v>0</v>
      </c>
      <c r="G25" s="57">
        <f>('Educação Financeira'!E31)</f>
        <v>0</v>
      </c>
      <c r="H25" s="58">
        <f>IF(F25&gt;=G25, "✅ ATINGIDA", "⏳ EM CURSO")</f>
        <v>0</v>
      </c>
    </row>
    <row r="26" spans="2:8" s="6" customFormat="1" ht="20" customHeight="1">
      <c r="B26" s="54" t="s">
        <v>170</v>
      </c>
      <c r="C26" s="55">
        <f>EDATE(TODAY(), 13)</f>
        <v>0</v>
      </c>
      <c r="D26" s="2">
        <f>MAX(0, 'Educação Financeira'!$E$33 * 0.5)</f>
        <v>0</v>
      </c>
      <c r="E26" s="2">
        <f>IF(MONTH(C26)=12, 'Educação Financeira'!$E$13 * 0.5, 0)</f>
        <v>0</v>
      </c>
      <c r="F26" s="56">
        <f>F25 + IF(B26="Sim", D26 + E26, 0)</f>
        <v>0</v>
      </c>
      <c r="G26" s="57">
        <f>('Educação Financeira'!E31)</f>
        <v>0</v>
      </c>
      <c r="H26" s="58">
        <f>IF(F26&gt;=G26, "✅ ATINGIDA", "⏳ EM CURSO")</f>
        <v>0</v>
      </c>
    </row>
    <row r="27" spans="2:8" s="6" customFormat="1" ht="20" customHeight="1">
      <c r="B27" s="54" t="s">
        <v>170</v>
      </c>
      <c r="C27" s="55">
        <f>EDATE(TODAY(), 14)</f>
        <v>0</v>
      </c>
      <c r="D27" s="2">
        <f>MAX(0, 'Educação Financeira'!$E$33 * 0.5)</f>
        <v>0</v>
      </c>
      <c r="E27" s="2">
        <f>IF(MONTH(C27)=12, 'Educação Financeira'!$E$13 * 0.5, 0)</f>
        <v>0</v>
      </c>
      <c r="F27" s="56">
        <f>F26 + IF(B27="Sim", D27 + E27, 0)</f>
        <v>0</v>
      </c>
      <c r="G27" s="57">
        <f>('Educação Financeira'!E31)</f>
        <v>0</v>
      </c>
      <c r="H27" s="58">
        <f>IF(F27&gt;=G27, "✅ ATINGIDA", "⏳ EM CURSO")</f>
        <v>0</v>
      </c>
    </row>
    <row r="28" spans="2:8" s="6" customFormat="1" ht="20" customHeight="1">
      <c r="B28" s="54" t="s">
        <v>170</v>
      </c>
      <c r="C28" s="55">
        <f>EDATE(TODAY(), 15)</f>
        <v>0</v>
      </c>
      <c r="D28" s="2">
        <f>MAX(0, 'Educação Financeira'!$E$33 * 0.5)</f>
        <v>0</v>
      </c>
      <c r="E28" s="2">
        <f>IF(MONTH(C28)=12, 'Educação Financeira'!$E$13 * 0.5, 0)</f>
        <v>0</v>
      </c>
      <c r="F28" s="56">
        <f>F27 + IF(B28="Sim", D28 + E28, 0)</f>
        <v>0</v>
      </c>
      <c r="G28" s="57">
        <f>('Educação Financeira'!E31)</f>
        <v>0</v>
      </c>
      <c r="H28" s="58">
        <f>IF(F28&gt;=G28, "✅ ATINGIDA", "⏳ EM CURSO")</f>
        <v>0</v>
      </c>
    </row>
    <row r="29" spans="2:8" s="6" customFormat="1" ht="20" customHeight="1">
      <c r="B29" s="54" t="s">
        <v>170</v>
      </c>
      <c r="C29" s="55">
        <f>EDATE(TODAY(), 16)</f>
        <v>0</v>
      </c>
      <c r="D29" s="2">
        <f>MAX(0, 'Educação Financeira'!$E$33 * 0.5)</f>
        <v>0</v>
      </c>
      <c r="E29" s="2">
        <f>IF(MONTH(C29)=12, 'Educação Financeira'!$E$13 * 0.5, 0)</f>
        <v>0</v>
      </c>
      <c r="F29" s="56">
        <f>F28 + IF(B29="Sim", D29 + E29, 0)</f>
        <v>0</v>
      </c>
      <c r="G29" s="57">
        <f>('Educação Financeira'!E31)</f>
        <v>0</v>
      </c>
      <c r="H29" s="58">
        <f>IF(F29&gt;=G29, "✅ ATINGIDA", "⏳ EM CURSO")</f>
        <v>0</v>
      </c>
    </row>
    <row r="30" spans="2:8" s="6" customFormat="1" ht="20" customHeight="1">
      <c r="B30" s="54" t="s">
        <v>170</v>
      </c>
      <c r="C30" s="55">
        <f>EDATE(TODAY(), 17)</f>
        <v>0</v>
      </c>
      <c r="D30" s="2">
        <f>MAX(0, 'Educação Financeira'!$E$33 * 0.5)</f>
        <v>0</v>
      </c>
      <c r="E30" s="2">
        <f>IF(MONTH(C30)=12, 'Educação Financeira'!$E$13 * 0.5, 0)</f>
        <v>0</v>
      </c>
      <c r="F30" s="56">
        <f>F29 + IF(B30="Sim", D30 + E30, 0)</f>
        <v>0</v>
      </c>
      <c r="G30" s="57">
        <f>('Educação Financeira'!E31)</f>
        <v>0</v>
      </c>
      <c r="H30" s="58">
        <f>IF(F30&gt;=G30, "✅ ATINGIDA", "⏳ EM CURSO")</f>
        <v>0</v>
      </c>
    </row>
    <row r="31" spans="2:8" s="6" customFormat="1" ht="20" customHeight="1">
      <c r="B31" s="54" t="s">
        <v>170</v>
      </c>
      <c r="C31" s="55">
        <f>EDATE(TODAY(), 18)</f>
        <v>0</v>
      </c>
      <c r="D31" s="2">
        <f>MAX(0, 'Educação Financeira'!$E$33 * 0.5)</f>
        <v>0</v>
      </c>
      <c r="E31" s="2">
        <f>IF(MONTH(C31)=12, 'Educação Financeira'!$E$13 * 0.5, 0)</f>
        <v>0</v>
      </c>
      <c r="F31" s="56">
        <f>F30 + IF(B31="Sim", D31 + E31, 0)</f>
        <v>0</v>
      </c>
      <c r="G31" s="57">
        <f>('Educação Financeira'!E31)</f>
        <v>0</v>
      </c>
      <c r="H31" s="58">
        <f>IF(F31&gt;=G31, "✅ ATINGIDA", "⏳ EM CURSO")</f>
        <v>0</v>
      </c>
    </row>
    <row r="32" spans="2:8" s="6" customFormat="1" ht="20" customHeight="1">
      <c r="B32" s="54" t="s">
        <v>170</v>
      </c>
      <c r="C32" s="55">
        <f>EDATE(TODAY(), 19)</f>
        <v>0</v>
      </c>
      <c r="D32" s="2">
        <f>MAX(0, 'Educação Financeira'!$E$33 * 0.5)</f>
        <v>0</v>
      </c>
      <c r="E32" s="2">
        <f>IF(MONTH(C32)=12, 'Educação Financeira'!$E$13 * 0.5, 0)</f>
        <v>0</v>
      </c>
      <c r="F32" s="56">
        <f>F31 + IF(B32="Sim", D32 + E32, 0)</f>
        <v>0</v>
      </c>
      <c r="G32" s="57">
        <f>('Educação Financeira'!E31)</f>
        <v>0</v>
      </c>
      <c r="H32" s="58">
        <f>IF(F32&gt;=G32, "✅ ATINGIDA", "⏳ EM CURSO")</f>
        <v>0</v>
      </c>
    </row>
    <row r="33" spans="2:8" s="6" customFormat="1" ht="20" customHeight="1">
      <c r="B33" s="54" t="s">
        <v>170</v>
      </c>
      <c r="C33" s="55">
        <f>EDATE(TODAY(), 20)</f>
        <v>0</v>
      </c>
      <c r="D33" s="2">
        <f>MAX(0, 'Educação Financeira'!$E$33 * 0.5)</f>
        <v>0</v>
      </c>
      <c r="E33" s="2">
        <f>IF(MONTH(C33)=12, 'Educação Financeira'!$E$13 * 0.5, 0)</f>
        <v>0</v>
      </c>
      <c r="F33" s="56">
        <f>F32 + IF(B33="Sim", D33 + E33, 0)</f>
        <v>0</v>
      </c>
      <c r="G33" s="57">
        <f>('Educação Financeira'!E31)</f>
        <v>0</v>
      </c>
      <c r="H33" s="58">
        <f>IF(F33&gt;=G33, "✅ ATINGIDA", "⏳ EM CURSO")</f>
        <v>0</v>
      </c>
    </row>
    <row r="34" spans="2:8" s="6" customFormat="1" ht="20" customHeight="1">
      <c r="B34" s="54" t="s">
        <v>170</v>
      </c>
      <c r="C34" s="55">
        <f>EDATE(TODAY(), 21)</f>
        <v>0</v>
      </c>
      <c r="D34" s="2">
        <f>MAX(0, 'Educação Financeira'!$E$33 * 0.5)</f>
        <v>0</v>
      </c>
      <c r="E34" s="2">
        <f>IF(MONTH(C34)=12, 'Educação Financeira'!$E$13 * 0.5, 0)</f>
        <v>0</v>
      </c>
      <c r="F34" s="56">
        <f>F33 + IF(B34="Sim", D34 + E34, 0)</f>
        <v>0</v>
      </c>
      <c r="G34" s="57">
        <f>('Educação Financeira'!E31)</f>
        <v>0</v>
      </c>
      <c r="H34" s="58">
        <f>IF(F34&gt;=G34, "✅ ATINGIDA", "⏳ EM CURSO")</f>
        <v>0</v>
      </c>
    </row>
    <row r="35" spans="2:8" s="6" customFormat="1" ht="20" customHeight="1">
      <c r="B35" s="54" t="s">
        <v>170</v>
      </c>
      <c r="C35" s="55">
        <f>EDATE(TODAY(), 22)</f>
        <v>0</v>
      </c>
      <c r="D35" s="2">
        <f>MAX(0, 'Educação Financeira'!$E$33 * 0.5)</f>
        <v>0</v>
      </c>
      <c r="E35" s="2">
        <f>IF(MONTH(C35)=12, 'Educação Financeira'!$E$13 * 0.5, 0)</f>
        <v>0</v>
      </c>
      <c r="F35" s="56">
        <f>F34 + IF(B35="Sim", D35 + E35, 0)</f>
        <v>0</v>
      </c>
      <c r="G35" s="57">
        <f>('Educação Financeira'!E31)</f>
        <v>0</v>
      </c>
      <c r="H35" s="58">
        <f>IF(F35&gt;=G35, "✅ ATINGIDA", "⏳ EM CURSO")</f>
        <v>0</v>
      </c>
    </row>
    <row r="36" spans="2:8" s="6" customFormat="1" ht="20" customHeight="1">
      <c r="B36" s="54" t="s">
        <v>170</v>
      </c>
      <c r="C36" s="55">
        <f>EDATE(TODAY(), 23)</f>
        <v>0</v>
      </c>
      <c r="D36" s="2">
        <f>MAX(0, 'Educação Financeira'!$E$33 * 0.5)</f>
        <v>0</v>
      </c>
      <c r="E36" s="2">
        <f>IF(MONTH(C36)=12, 'Educação Financeira'!$E$13 * 0.5, 0)</f>
        <v>0</v>
      </c>
      <c r="F36" s="56">
        <f>F35 + IF(B36="Sim", D36 + E36, 0)</f>
        <v>0</v>
      </c>
      <c r="G36" s="57">
        <f>('Educação Financeira'!E31)</f>
        <v>0</v>
      </c>
      <c r="H36" s="58">
        <f>IF(F36&gt;=G36, "✅ ATINGIDA", "⏳ EM CURSO")</f>
        <v>0</v>
      </c>
    </row>
    <row r="37" spans="2:8" s="6" customFormat="1" ht="20" customHeight="1">
      <c r="B37" s="54" t="s">
        <v>170</v>
      </c>
      <c r="C37" s="55">
        <f>EDATE(TODAY(), 24)</f>
        <v>0</v>
      </c>
      <c r="D37" s="2">
        <f>MAX(0, 'Educação Financeira'!$E$33 * 0.5)</f>
        <v>0</v>
      </c>
      <c r="E37" s="2">
        <f>IF(MONTH(C37)=12, 'Educação Financeira'!$E$13 * 0.5, 0)</f>
        <v>0</v>
      </c>
      <c r="F37" s="56">
        <f>F36 + IF(B37="Sim", D37 + E37, 0)</f>
        <v>0</v>
      </c>
      <c r="G37" s="57">
        <f>('Educação Financeira'!E31)</f>
        <v>0</v>
      </c>
      <c r="H37" s="58">
        <f>IF(F37&gt;=G37, "✅ ATINGIDA", "⏳ EM CURSO")</f>
        <v>0</v>
      </c>
    </row>
    <row r="38" spans="2:8" s="6" customFormat="1" ht="20" customHeight="1">
      <c r="B38" s="54" t="s">
        <v>170</v>
      </c>
      <c r="C38" s="55">
        <f>EDATE(TODAY(), 25)</f>
        <v>0</v>
      </c>
      <c r="D38" s="2">
        <f>MAX(0, 'Educação Financeira'!$E$33 * 0.5)</f>
        <v>0</v>
      </c>
      <c r="E38" s="2">
        <f>IF(MONTH(C38)=12, 'Educação Financeira'!$E$13 * 0.5, 0)</f>
        <v>0</v>
      </c>
      <c r="F38" s="56">
        <f>F37 + IF(B38="Sim", D38 + E38, 0)</f>
        <v>0</v>
      </c>
      <c r="G38" s="57">
        <f>('Educação Financeira'!E31)</f>
        <v>0</v>
      </c>
      <c r="H38" s="58">
        <f>IF(F38&gt;=G38, "✅ ATINGIDA", "⏳ EM CURSO")</f>
        <v>0</v>
      </c>
    </row>
    <row r="39" spans="2:8" s="6" customFormat="1" ht="20" customHeight="1">
      <c r="B39" s="54" t="s">
        <v>170</v>
      </c>
      <c r="C39" s="55">
        <f>EDATE(TODAY(), 26)</f>
        <v>0</v>
      </c>
      <c r="D39" s="2">
        <f>MAX(0, 'Educação Financeira'!$E$33 * 0.5)</f>
        <v>0</v>
      </c>
      <c r="E39" s="2">
        <f>IF(MONTH(C39)=12, 'Educação Financeira'!$E$13 * 0.5, 0)</f>
        <v>0</v>
      </c>
      <c r="F39" s="56">
        <f>F38 + IF(B39="Sim", D39 + E39, 0)</f>
        <v>0</v>
      </c>
      <c r="G39" s="57">
        <f>('Educação Financeira'!E31)</f>
        <v>0</v>
      </c>
      <c r="H39" s="58">
        <f>IF(F39&gt;=G39, "✅ ATINGIDA", "⏳ EM CURSO")</f>
        <v>0</v>
      </c>
    </row>
    <row r="40" spans="2:8" s="6" customFormat="1" ht="20" customHeight="1">
      <c r="B40" s="54" t="s">
        <v>170</v>
      </c>
      <c r="C40" s="55">
        <f>EDATE(TODAY(), 27)</f>
        <v>0</v>
      </c>
      <c r="D40" s="2">
        <f>MAX(0, 'Educação Financeira'!$E$33 * 0.5)</f>
        <v>0</v>
      </c>
      <c r="E40" s="2">
        <f>IF(MONTH(C40)=12, 'Educação Financeira'!$E$13 * 0.5, 0)</f>
        <v>0</v>
      </c>
      <c r="F40" s="56">
        <f>F39 + IF(B40="Sim", D40 + E40, 0)</f>
        <v>0</v>
      </c>
      <c r="G40" s="57">
        <f>('Educação Financeira'!E31)</f>
        <v>0</v>
      </c>
      <c r="H40" s="58">
        <f>IF(F40&gt;=G40, "✅ ATINGIDA", "⏳ EM CURSO")</f>
        <v>0</v>
      </c>
    </row>
    <row r="41" spans="2:8" s="6" customFormat="1" ht="20" customHeight="1">
      <c r="B41" s="54" t="s">
        <v>170</v>
      </c>
      <c r="C41" s="55">
        <f>EDATE(TODAY(), 28)</f>
        <v>0</v>
      </c>
      <c r="D41" s="2">
        <f>MAX(0, 'Educação Financeira'!$E$33 * 0.5)</f>
        <v>0</v>
      </c>
      <c r="E41" s="2">
        <f>IF(MONTH(C41)=12, 'Educação Financeira'!$E$13 * 0.5, 0)</f>
        <v>0</v>
      </c>
      <c r="F41" s="56">
        <f>F40 + IF(B41="Sim", D41 + E41, 0)</f>
        <v>0</v>
      </c>
      <c r="G41" s="57">
        <f>('Educação Financeira'!E31)</f>
        <v>0</v>
      </c>
      <c r="H41" s="58">
        <f>IF(F41&gt;=G41, "✅ ATINGIDA", "⏳ EM CURSO")</f>
        <v>0</v>
      </c>
    </row>
    <row r="42" spans="2:8" s="6" customFormat="1" ht="20" customHeight="1">
      <c r="B42" s="54" t="s">
        <v>170</v>
      </c>
      <c r="C42" s="55">
        <f>EDATE(TODAY(), 29)</f>
        <v>0</v>
      </c>
      <c r="D42" s="2">
        <f>MAX(0, 'Educação Financeira'!$E$33 * 0.5)</f>
        <v>0</v>
      </c>
      <c r="E42" s="2">
        <f>IF(MONTH(C42)=12, 'Educação Financeira'!$E$13 * 0.5, 0)</f>
        <v>0</v>
      </c>
      <c r="F42" s="56">
        <f>F41 + IF(B42="Sim", D42 + E42, 0)</f>
        <v>0</v>
      </c>
      <c r="G42" s="57">
        <f>('Educação Financeira'!E31)</f>
        <v>0</v>
      </c>
      <c r="H42" s="58">
        <f>IF(F42&gt;=G42, "✅ ATINGIDA", "⏳ EM CURSO")</f>
        <v>0</v>
      </c>
    </row>
    <row r="43" spans="2:8" s="6" customFormat="1" ht="20" customHeight="1">
      <c r="B43" s="54" t="s">
        <v>170</v>
      </c>
      <c r="C43" s="55">
        <f>EDATE(TODAY(), 30)</f>
        <v>0</v>
      </c>
      <c r="D43" s="2">
        <f>MAX(0, 'Educação Financeira'!$E$33 * 0.5)</f>
        <v>0</v>
      </c>
      <c r="E43" s="2">
        <f>IF(MONTH(C43)=12, 'Educação Financeira'!$E$13 * 0.5, 0)</f>
        <v>0</v>
      </c>
      <c r="F43" s="56">
        <f>F42 + IF(B43="Sim", D43 + E43, 0)</f>
        <v>0</v>
      </c>
      <c r="G43" s="57">
        <f>('Educação Financeira'!E31)</f>
        <v>0</v>
      </c>
      <c r="H43" s="58">
        <f>IF(F43&gt;=G43, "✅ ATINGIDA", "⏳ EM CURSO")</f>
        <v>0</v>
      </c>
    </row>
    <row r="44" spans="2:8" s="6" customFormat="1" ht="20" customHeight="1">
      <c r="B44" s="54" t="s">
        <v>170</v>
      </c>
      <c r="C44" s="55">
        <f>EDATE(TODAY(), 31)</f>
        <v>0</v>
      </c>
      <c r="D44" s="2">
        <f>MAX(0, 'Educação Financeira'!$E$33 * 0.5)</f>
        <v>0</v>
      </c>
      <c r="E44" s="2">
        <f>IF(MONTH(C44)=12, 'Educação Financeira'!$E$13 * 0.5, 0)</f>
        <v>0</v>
      </c>
      <c r="F44" s="56">
        <f>F43 + IF(B44="Sim", D44 + E44, 0)</f>
        <v>0</v>
      </c>
      <c r="G44" s="57">
        <f>('Educação Financeira'!E31)</f>
        <v>0</v>
      </c>
      <c r="H44" s="58">
        <f>IF(F44&gt;=G44, "✅ ATINGIDA", "⏳ EM CURSO")</f>
        <v>0</v>
      </c>
    </row>
    <row r="45" spans="2:8" s="6" customFormat="1" ht="20" customHeight="1">
      <c r="B45" s="54" t="s">
        <v>170</v>
      </c>
      <c r="C45" s="55">
        <f>EDATE(TODAY(), 32)</f>
        <v>0</v>
      </c>
      <c r="D45" s="2">
        <f>MAX(0, 'Educação Financeira'!$E$33 * 0.5)</f>
        <v>0</v>
      </c>
      <c r="E45" s="2">
        <f>IF(MONTH(C45)=12, 'Educação Financeira'!$E$13 * 0.5, 0)</f>
        <v>0</v>
      </c>
      <c r="F45" s="56">
        <f>F44 + IF(B45="Sim", D45 + E45, 0)</f>
        <v>0</v>
      </c>
      <c r="G45" s="57">
        <f>('Educação Financeira'!E31)</f>
        <v>0</v>
      </c>
      <c r="H45" s="58">
        <f>IF(F45&gt;=G45, "✅ ATINGIDA", "⏳ EM CURSO")</f>
        <v>0</v>
      </c>
    </row>
    <row r="46" spans="2:8" s="6" customFormat="1" ht="20" customHeight="1">
      <c r="B46" s="54" t="s">
        <v>170</v>
      </c>
      <c r="C46" s="55">
        <f>EDATE(TODAY(), 33)</f>
        <v>0</v>
      </c>
      <c r="D46" s="2">
        <f>MAX(0, 'Educação Financeira'!$E$33 * 0.5)</f>
        <v>0</v>
      </c>
      <c r="E46" s="2">
        <f>IF(MONTH(C46)=12, 'Educação Financeira'!$E$13 * 0.5, 0)</f>
        <v>0</v>
      </c>
      <c r="F46" s="56">
        <f>F45 + IF(B46="Sim", D46 + E46, 0)</f>
        <v>0</v>
      </c>
      <c r="G46" s="57">
        <f>('Educação Financeira'!E31)</f>
        <v>0</v>
      </c>
      <c r="H46" s="58">
        <f>IF(F46&gt;=G46, "✅ ATINGIDA", "⏳ EM CURSO")</f>
        <v>0</v>
      </c>
    </row>
    <row r="47" spans="2:8" s="6" customFormat="1" ht="20" customHeight="1">
      <c r="B47" s="54" t="s">
        <v>170</v>
      </c>
      <c r="C47" s="55">
        <f>EDATE(TODAY(), 34)</f>
        <v>0</v>
      </c>
      <c r="D47" s="2">
        <f>MAX(0, 'Educação Financeira'!$E$33 * 0.5)</f>
        <v>0</v>
      </c>
      <c r="E47" s="2">
        <f>IF(MONTH(C47)=12, 'Educação Financeira'!$E$13 * 0.5, 0)</f>
        <v>0</v>
      </c>
      <c r="F47" s="56">
        <f>F46 + IF(B47="Sim", D47 + E47, 0)</f>
        <v>0</v>
      </c>
      <c r="G47" s="57">
        <f>('Educação Financeira'!E31)</f>
        <v>0</v>
      </c>
      <c r="H47" s="58">
        <f>IF(F47&gt;=G47, "✅ ATINGIDA", "⏳ EM CURSO")</f>
        <v>0</v>
      </c>
    </row>
    <row r="48" spans="2:8" s="6" customFormat="1" ht="20" customHeight="1">
      <c r="B48" s="54" t="s">
        <v>170</v>
      </c>
      <c r="C48" s="55">
        <f>EDATE(TODAY(), 35)</f>
        <v>0</v>
      </c>
      <c r="D48" s="2">
        <f>MAX(0, 'Educação Financeira'!$E$33 * 0.5)</f>
        <v>0</v>
      </c>
      <c r="E48" s="2">
        <f>IF(MONTH(C48)=12, 'Educação Financeira'!$E$13 * 0.5, 0)</f>
        <v>0</v>
      </c>
      <c r="F48" s="56">
        <f>F47 + IF(B48="Sim", D48 + E48, 0)</f>
        <v>0</v>
      </c>
      <c r="G48" s="57">
        <f>('Educação Financeira'!E31)</f>
        <v>0</v>
      </c>
      <c r="H48" s="58">
        <f>IF(F48&gt;=G48, "✅ ATINGIDA", "⏳ EM CURSO")</f>
        <v>0</v>
      </c>
    </row>
    <row r="49" s="6" customFormat="1" ht="20" customHeight="1"/>
    <row r="50" s="6" customFormat="1" ht="20" customHeight="1"/>
    <row r="51" s="6" customFormat="1" ht="20" customHeight="1"/>
    <row r="52" s="6" customFormat="1" ht="20" customHeight="1"/>
    <row r="53" s="6" customFormat="1" ht="20" customHeight="1"/>
    <row r="54" s="6" customFormat="1" ht="20" customHeight="1"/>
    <row r="55" s="6" customFormat="1" ht="20" customHeight="1"/>
    <row r="56" s="6" customFormat="1" ht="20" customHeight="1"/>
    <row r="57" s="6" customFormat="1" ht="20" customHeight="1"/>
    <row r="58" s="6" customFormat="1" ht="20" customHeight="1"/>
    <row r="59" s="6" customFormat="1" ht="20" customHeight="1"/>
    <row r="60" s="6" customFormat="1" ht="20" customHeight="1"/>
    <row r="61" s="6" customFormat="1" ht="20" customHeight="1"/>
    <row r="62" s="6" customFormat="1" ht="20" customHeight="1"/>
    <row r="63" s="6" customFormat="1" ht="20" customHeight="1"/>
    <row r="64" s="6" customFormat="1" ht="20" customHeight="1"/>
    <row r="65" spans="2:12" s="6" customFormat="1" ht="20" customHeight="1"/>
    <row r="66" spans="2:12" ht="30" customHeight="1">
      <c r="B66" s="24" t="s">
        <v>113</v>
      </c>
      <c r="C66" s="24"/>
      <c r="D66" s="24"/>
      <c r="E66" s="24"/>
      <c r="F66" s="24"/>
      <c r="G66" s="24"/>
      <c r="H66" s="24"/>
      <c r="I66" s="24"/>
      <c r="J66" s="24"/>
      <c r="K66" s="24"/>
      <c r="L66" s="24"/>
    </row>
    <row r="67" spans="2:12" s="6" customFormat="1" ht="20" customHeight="1"/>
    <row r="68" spans="2:12" s="6" customFormat="1" ht="20" customHeight="1"/>
    <row r="69" spans="2:12" s="6" customFormat="1" ht="20" customHeight="1"/>
    <row r="70" spans="2:12" s="6" customFormat="1" ht="20" customHeight="1"/>
    <row r="71" spans="2:12" s="6" customFormat="1" ht="20" customHeight="1"/>
    <row r="72" spans="2:12" s="6" customFormat="1" ht="20" customHeight="1"/>
    <row r="73" spans="2:12" s="6" customFormat="1" ht="20" customHeight="1"/>
    <row r="74" spans="2:12" s="6" customFormat="1" ht="20" customHeight="1"/>
    <row r="75" spans="2:12" s="6" customFormat="1" ht="20" customHeight="1"/>
    <row r="76" spans="2:12" s="6" customFormat="1" ht="20" customHeight="1"/>
    <row r="77" spans="2:12" s="6" customFormat="1" ht="20" customHeight="1"/>
    <row r="78" spans="2:12" s="6" customFormat="1" ht="20" customHeight="1"/>
    <row r="79" spans="2:12" s="6" customFormat="1" ht="20" customHeight="1"/>
    <row r="80" spans="2:12" s="6" customFormat="1" ht="20" customHeight="1"/>
    <row r="81" s="6" customFormat="1" ht="20" customHeight="1"/>
    <row r="82" s="6" customFormat="1" ht="20" customHeight="1"/>
    <row r="83" s="6" customFormat="1" ht="20" customHeight="1"/>
    <row r="84" s="6" customFormat="1" ht="20" customHeight="1"/>
    <row r="85" s="6" customFormat="1" ht="20" customHeight="1"/>
    <row r="86" s="6" customFormat="1" ht="20" customHeight="1"/>
    <row r="87" s="6" customFormat="1" ht="20" customHeight="1"/>
    <row r="88" s="6" customFormat="1" ht="20" customHeight="1"/>
    <row r="89" s="6" customFormat="1" ht="20" customHeight="1"/>
    <row r="90" s="6" customFormat="1" ht="20" customHeight="1"/>
    <row r="91" s="6" customFormat="1" ht="20" customHeight="1"/>
    <row r="92" s="6" customFormat="1" ht="20" customHeight="1"/>
    <row r="93" s="6" customFormat="1" ht="20" customHeight="1"/>
    <row r="94" s="6" customFormat="1" ht="20" customHeight="1"/>
    <row r="95" s="6" customFormat="1" ht="20" customHeight="1"/>
    <row r="96" s="6" customFormat="1" ht="20" customHeight="1"/>
    <row r="97" s="6" customFormat="1" ht="20" customHeight="1"/>
    <row r="98" s="6" customFormat="1" ht="20" customHeight="1"/>
    <row r="99" s="6" customFormat="1" ht="20" customHeight="1"/>
    <row r="100" s="6" customFormat="1" ht="20" customHeight="1"/>
    <row r="101" s="6" customFormat="1" ht="20" customHeight="1"/>
    <row r="102" s="6" customFormat="1" ht="20" customHeight="1"/>
    <row r="103" s="6" customFormat="1" ht="20" customHeight="1"/>
    <row r="104" s="6" customFormat="1" ht="20" customHeight="1"/>
    <row r="105" s="6" customFormat="1" ht="20" customHeight="1"/>
    <row r="106" s="6" customFormat="1" ht="20" customHeight="1"/>
    <row r="107" s="6" customFormat="1" ht="20" customHeight="1"/>
    <row r="108" s="6" customFormat="1" ht="20" customHeight="1"/>
    <row r="109" s="6" customFormat="1" ht="20" customHeight="1"/>
    <row r="110" s="6" customFormat="1" ht="20" customHeight="1"/>
    <row r="111" s="6" customFormat="1" ht="20" customHeight="1"/>
    <row r="112" s="6" customFormat="1" ht="20" customHeight="1"/>
    <row r="113" s="6" customFormat="1" ht="20" customHeight="1"/>
    <row r="114" s="6" customFormat="1" ht="20" customHeight="1"/>
    <row r="115" s="6" customFormat="1" ht="20" customHeight="1"/>
    <row r="116" s="6" customFormat="1" ht="20" customHeight="1"/>
    <row r="117" s="6" customFormat="1" ht="20" customHeight="1"/>
    <row r="118" s="6" customFormat="1" ht="20" customHeight="1"/>
    <row r="119" s="6" customFormat="1" ht="20" customHeight="1"/>
    <row r="120" s="6" customFormat="1" ht="20" customHeight="1"/>
    <row r="121" s="6" customFormat="1" ht="20" customHeight="1"/>
    <row r="122" s="6" customFormat="1" ht="20" customHeight="1"/>
    <row r="123" s="6" customFormat="1" ht="20" customHeight="1"/>
    <row r="124" s="6" customFormat="1" ht="20" customHeight="1"/>
    <row r="125" s="6" customFormat="1" ht="20" customHeight="1"/>
    <row r="126" s="6" customFormat="1" ht="20" customHeight="1"/>
    <row r="127" s="6" customFormat="1" ht="20" customHeight="1"/>
    <row r="128" s="6" customFormat="1" ht="20" customHeight="1"/>
    <row r="129" s="6" customFormat="1" ht="20" customHeight="1"/>
    <row r="130" s="6" customFormat="1" ht="20" customHeight="1"/>
    <row r="131" s="6" customFormat="1" ht="20" customHeight="1"/>
    <row r="132" s="6" customFormat="1" ht="20" customHeight="1"/>
    <row r="133" s="6" customFormat="1" ht="20" customHeight="1"/>
    <row r="134" s="6" customFormat="1" ht="20" customHeight="1"/>
    <row r="135" s="6" customFormat="1" ht="20" customHeight="1"/>
    <row r="136" s="6" customFormat="1" ht="20" customHeight="1"/>
    <row r="137" s="6" customFormat="1" ht="20" customHeight="1"/>
    <row r="138" s="6" customFormat="1" ht="20" customHeight="1"/>
    <row r="139" s="6" customFormat="1" ht="20" customHeight="1"/>
    <row r="140" s="6" customFormat="1" ht="20" customHeight="1"/>
    <row r="141" s="6" customFormat="1" ht="20" customHeight="1"/>
    <row r="142" s="6" customFormat="1" ht="20" customHeight="1"/>
    <row r="143" s="6" customFormat="1" ht="20" customHeight="1"/>
    <row r="144" s="6" customFormat="1" ht="20" customHeight="1"/>
    <row r="145" s="6" customFormat="1" ht="20" customHeight="1"/>
    <row r="146" s="6" customFormat="1" ht="20" customHeight="1"/>
    <row r="147" s="6" customFormat="1" ht="20" customHeight="1"/>
    <row r="148" s="6" customFormat="1" ht="20" customHeight="1"/>
    <row r="149" s="6" customFormat="1" ht="20" customHeight="1"/>
    <row r="150" s="6" customFormat="1" ht="20" customHeight="1"/>
  </sheetData>
  <sheetProtection sheet="1" autoFilter="0"/>
  <mergeCells count="10">
    <mergeCell ref="B1:L1"/>
    <mergeCell ref="C3:D3"/>
    <mergeCell ref="E3:F3"/>
    <mergeCell ref="G3:H3"/>
    <mergeCell ref="B4:L4"/>
    <mergeCell ref="C9:E9"/>
    <mergeCell ref="C10:E11"/>
    <mergeCell ref="F9:G9"/>
    <mergeCell ref="F10:G11"/>
    <mergeCell ref="B66:L66"/>
  </mergeCells>
  <conditionalFormatting sqref="B13:B48">
    <cfRule type="cellIs" dxfId="3" priority="3" operator="equal">
      <formula>"Sim"</formula>
    </cfRule>
  </conditionalFormatting>
  <conditionalFormatting sqref="H13:H48">
    <cfRule type="beginsWith" dxfId="1" priority="1" operator="beginsWith" text="✅ ATINGIDA">
      <formula>LEFT(H13,10)="✅ ATINGIDA"</formula>
    </cfRule>
    <cfRule type="beginsWith" dxfId="2" priority="2" operator="beginsWith" text="⏳ EM CURSO">
      <formula>LEFT(H13,10)="⏳ EM CURSO"</formula>
    </cfRule>
  </conditionalFormatting>
  <dataValidations count="36">
    <dataValidation type="list" allowBlank="1" showInputMessage="1" showErrorMessage="1" sqref="B13">
      <formula1>"Sim,Não"</formula1>
    </dataValidation>
    <dataValidation type="list" allowBlank="1" showInputMessage="1" showErrorMessage="1" sqref="B14">
      <formula1>"Sim,Não"</formula1>
    </dataValidation>
    <dataValidation type="list" allowBlank="1" showInputMessage="1" showErrorMessage="1" sqref="B15">
      <formula1>"Sim,Não"</formula1>
    </dataValidation>
    <dataValidation type="list" allowBlank="1" showInputMessage="1" showErrorMessage="1" sqref="B16">
      <formula1>"Sim,Não"</formula1>
    </dataValidation>
    <dataValidation type="list" allowBlank="1" showInputMessage="1" showErrorMessage="1" sqref="B17">
      <formula1>"Sim,Não"</formula1>
    </dataValidation>
    <dataValidation type="list" allowBlank="1" showInputMessage="1" showErrorMessage="1" sqref="B18">
      <formula1>"Sim,Não"</formula1>
    </dataValidation>
    <dataValidation type="list" allowBlank="1" showInputMessage="1" showErrorMessage="1" sqref="B19">
      <formula1>"Sim,Não"</formula1>
    </dataValidation>
    <dataValidation type="list" allowBlank="1" showInputMessage="1" showErrorMessage="1" sqref="B20">
      <formula1>"Sim,Não"</formula1>
    </dataValidation>
    <dataValidation type="list" allowBlank="1" showInputMessage="1" showErrorMessage="1" sqref="B21">
      <formula1>"Sim,Não"</formula1>
    </dataValidation>
    <dataValidation type="list" allowBlank="1" showInputMessage="1" showErrorMessage="1" sqref="B22">
      <formula1>"Sim,Não"</formula1>
    </dataValidation>
    <dataValidation type="list" allowBlank="1" showInputMessage="1" showErrorMessage="1" sqref="B23">
      <formula1>"Sim,Não"</formula1>
    </dataValidation>
    <dataValidation type="list" allowBlank="1" showInputMessage="1" showErrorMessage="1" sqref="B24">
      <formula1>"Sim,Não"</formula1>
    </dataValidation>
    <dataValidation type="list" allowBlank="1" showInputMessage="1" showErrorMessage="1" sqref="B25">
      <formula1>"Sim,Não"</formula1>
    </dataValidation>
    <dataValidation type="list" allowBlank="1" showInputMessage="1" showErrorMessage="1" sqref="B26">
      <formula1>"Sim,Não"</formula1>
    </dataValidation>
    <dataValidation type="list" allowBlank="1" showInputMessage="1" showErrorMessage="1" sqref="B27">
      <formula1>"Sim,Não"</formula1>
    </dataValidation>
    <dataValidation type="list" allowBlank="1" showInputMessage="1" showErrorMessage="1" sqref="B28">
      <formula1>"Sim,Não"</formula1>
    </dataValidation>
    <dataValidation type="list" allowBlank="1" showInputMessage="1" showErrorMessage="1" sqref="B29">
      <formula1>"Sim,Não"</formula1>
    </dataValidation>
    <dataValidation type="list" allowBlank="1" showInputMessage="1" showErrorMessage="1" sqref="B30">
      <formula1>"Sim,Não"</formula1>
    </dataValidation>
    <dataValidation type="list" allowBlank="1" showInputMessage="1" showErrorMessage="1" sqref="B31">
      <formula1>"Sim,Não"</formula1>
    </dataValidation>
    <dataValidation type="list" allowBlank="1" showInputMessage="1" showErrorMessage="1" sqref="B32">
      <formula1>"Sim,Não"</formula1>
    </dataValidation>
    <dataValidation type="list" allowBlank="1" showInputMessage="1" showErrorMessage="1" sqref="B33">
      <formula1>"Sim,Não"</formula1>
    </dataValidation>
    <dataValidation type="list" allowBlank="1" showInputMessage="1" showErrorMessage="1" sqref="B34">
      <formula1>"Sim,Não"</formula1>
    </dataValidation>
    <dataValidation type="list" allowBlank="1" showInputMessage="1" showErrorMessage="1" sqref="B35">
      <formula1>"Sim,Não"</formula1>
    </dataValidation>
    <dataValidation type="list" allowBlank="1" showInputMessage="1" showErrorMessage="1" sqref="B36">
      <formula1>"Sim,Não"</formula1>
    </dataValidation>
    <dataValidation type="list" allowBlank="1" showInputMessage="1" showErrorMessage="1" sqref="B37">
      <formula1>"Sim,Não"</formula1>
    </dataValidation>
    <dataValidation type="list" allowBlank="1" showInputMessage="1" showErrorMessage="1" sqref="B38">
      <formula1>"Sim,Não"</formula1>
    </dataValidation>
    <dataValidation type="list" allowBlank="1" showInputMessage="1" showErrorMessage="1" sqref="B39">
      <formula1>"Sim,Não"</formula1>
    </dataValidation>
    <dataValidation type="list" allowBlank="1" showInputMessage="1" showErrorMessage="1" sqref="B40">
      <formula1>"Sim,Não"</formula1>
    </dataValidation>
    <dataValidation type="list" allowBlank="1" showInputMessage="1" showErrorMessage="1" sqref="B41">
      <formula1>"Sim,Não"</formula1>
    </dataValidation>
    <dataValidation type="list" allowBlank="1" showInputMessage="1" showErrorMessage="1" sqref="B42">
      <formula1>"Sim,Não"</formula1>
    </dataValidation>
    <dataValidation type="list" allowBlank="1" showInputMessage="1" showErrorMessage="1" sqref="B43">
      <formula1>"Sim,Não"</formula1>
    </dataValidation>
    <dataValidation type="list" allowBlank="1" showInputMessage="1" showErrorMessage="1" sqref="B44">
      <formula1>"Sim,Não"</formula1>
    </dataValidation>
    <dataValidation type="list" allowBlank="1" showInputMessage="1" showErrorMessage="1" sqref="B45">
      <formula1>"Sim,Não"</formula1>
    </dataValidation>
    <dataValidation type="list" allowBlank="1" showInputMessage="1" showErrorMessage="1" sqref="B46">
      <formula1>"Sim,Não"</formula1>
    </dataValidation>
    <dataValidation type="list" allowBlank="1" showInputMessage="1" showErrorMessage="1" sqref="B47">
      <formula1>"Sim,Não"</formula1>
    </dataValidation>
    <dataValidation type="list" allowBlank="1" showInputMessage="1" showErrorMessage="1" sqref="B48">
      <formula1>"Sim,Não"</formula1>
    </dataValidation>
  </dataValidations>
  <hyperlinks>
    <hyperlink ref="B4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rgb="FFF39C12"/>
  </sheetPr>
  <dimension ref="A2:E13"/>
  <sheetViews>
    <sheetView workbookViewId="0"/>
  </sheetViews>
  <sheetFormatPr defaultRowHeight="15"/>
  <cols>
    <col min="1" max="2" width="25.7109375" customWidth="1"/>
    <col min="3" max="4" width="20.7109375" customWidth="1"/>
    <col min="5" max="5" width="30.7109375" customWidth="1"/>
  </cols>
  <sheetData>
    <row r="2" spans="1:5">
      <c r="A2" s="8" t="s">
        <v>171</v>
      </c>
    </row>
    <row r="5" spans="1:5">
      <c r="A5" s="53" t="s">
        <v>172</v>
      </c>
      <c r="B5" s="53" t="s">
        <v>173</v>
      </c>
      <c r="C5" s="53" t="s">
        <v>174</v>
      </c>
      <c r="D5" s="53" t="s">
        <v>175</v>
      </c>
      <c r="E5" s="53" t="s">
        <v>176</v>
      </c>
    </row>
    <row r="6" spans="1:5">
      <c r="A6" s="59" t="s">
        <v>177</v>
      </c>
      <c r="B6" s="59" t="s">
        <v>178</v>
      </c>
      <c r="C6" s="60" t="b">
        <v>0</v>
      </c>
      <c r="D6" s="59"/>
      <c r="E6" s="59"/>
    </row>
    <row r="7" spans="1:5">
      <c r="A7" s="59" t="s">
        <v>179</v>
      </c>
      <c r="B7" s="59" t="s">
        <v>178</v>
      </c>
      <c r="C7" s="60" t="b">
        <v>0</v>
      </c>
      <c r="D7" s="59"/>
      <c r="E7" s="59"/>
    </row>
    <row r="8" spans="1:5">
      <c r="A8" s="59" t="s">
        <v>180</v>
      </c>
      <c r="B8" s="59" t="s">
        <v>178</v>
      </c>
      <c r="C8" s="60" t="b">
        <v>0</v>
      </c>
      <c r="D8" s="59"/>
      <c r="E8" s="59"/>
    </row>
    <row r="9" spans="1:5">
      <c r="A9" s="59" t="s">
        <v>181</v>
      </c>
      <c r="B9" s="59" t="s">
        <v>178</v>
      </c>
      <c r="C9" s="60" t="b">
        <v>0</v>
      </c>
      <c r="D9" s="59"/>
      <c r="E9" s="59"/>
    </row>
    <row r="10" spans="1:5">
      <c r="A10" s="59" t="s">
        <v>182</v>
      </c>
      <c r="B10" s="59" t="s">
        <v>178</v>
      </c>
      <c r="C10" s="60" t="b">
        <v>0</v>
      </c>
      <c r="D10" s="59"/>
      <c r="E10" s="59"/>
    </row>
    <row r="11" spans="1:5">
      <c r="A11" s="59" t="s">
        <v>183</v>
      </c>
      <c r="B11" s="59" t="s">
        <v>178</v>
      </c>
      <c r="C11" s="60" t="b">
        <v>0</v>
      </c>
      <c r="D11" s="59"/>
      <c r="E11" s="59"/>
    </row>
    <row r="12" spans="1:5">
      <c r="A12" s="59" t="s">
        <v>184</v>
      </c>
      <c r="B12" s="59" t="s">
        <v>185</v>
      </c>
      <c r="C12" s="60" t="b">
        <v>0</v>
      </c>
      <c r="D12" s="59"/>
      <c r="E12" s="59"/>
    </row>
    <row r="13" spans="1:5">
      <c r="A13" s="59" t="s">
        <v>186</v>
      </c>
      <c r="B13" s="59" t="s">
        <v>187</v>
      </c>
      <c r="C13" s="60" t="b">
        <v>0</v>
      </c>
      <c r="D13" s="59"/>
      <c r="E13" s="59"/>
    </row>
  </sheetData>
  <sheetProtection sheet="1" autoFilter="0"/>
  <conditionalFormatting sqref="C6:C13">
    <cfRule type="cellIs" dxfId="4" priority="1" operator="equal">
      <formula>TRUE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System Data</vt:lpstr>
      <vt:lpstr>_BI_Export</vt:lpstr>
      <vt:lpstr>Início</vt:lpstr>
      <vt:lpstr>Laudo de Crédito</vt:lpstr>
      <vt:lpstr>Educação Financeira</vt:lpstr>
      <vt:lpstr>Fluxo Mensal</vt:lpstr>
      <vt:lpstr>Kanban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2026-02-28T01:03:17Z</dcterms:created>
  <dcterms:modified xsi:type="dcterms:W3CDTF">2026-02-28T01:03:17Z</dcterms:modified>
</cp:coreProperties>
</file>