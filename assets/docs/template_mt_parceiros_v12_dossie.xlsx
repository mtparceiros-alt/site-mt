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ossiê de Crédito" sheetId="1" state="visible" r:id="rId1"/>
    <sheet name="Fluxo Detalhado" sheetId="2" state="hidden" r:id="rId2"/>
  </sheets>
  <definedNames>
    <definedName name="SysData" hidden="0" function="0" vbProcedure="0">'MT Parceiros'!$A$120:$K$139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"/>
    <numFmt numFmtId="165" formatCode="0.0%"/>
    <numFmt numFmtId="166" formatCode="&quot;R$ &quot;#,##0"/>
    <numFmt numFmtId="167" formatCode="&quot;R$ &quot;#,##0.00"/>
  </numFmts>
  <fonts count="6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color rgb="FFCBD5E1"/>
      <sz val="8.5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374151"/>
      <sz val="9.5"/>
    </font>
    <font>
      <name val="Calibri"/>
      <charset val="1"/>
      <family val="0"/>
      <b val="1"/>
      <color rgb="FF0000CC"/>
      <sz val="10"/>
    </font>
    <font>
      <name val="Calibri"/>
      <charset val="1"/>
      <family val="0"/>
      <i val="1"/>
      <color rgb="FF94A3B8"/>
      <sz val="8"/>
    </font>
    <font>
      <name val="Calibri"/>
      <charset val="1"/>
      <family val="0"/>
      <color rgb="FF374151"/>
      <sz val="9.5"/>
    </font>
    <font>
      <name val="Calibri"/>
      <charset val="1"/>
      <family val="0"/>
      <b val="1"/>
      <color rgb="FFC8973A"/>
      <sz val="9"/>
    </font>
    <font>
      <name val="Calibri"/>
      <charset val="1"/>
      <family val="0"/>
      <color rgb="FF1B3A6B"/>
      <sz val="7"/>
    </font>
    <font>
      <name val="Calibri"/>
      <charset val="1"/>
      <family val="0"/>
      <b val="1"/>
      <color rgb="FF0F2547"/>
      <sz val="10"/>
    </font>
    <font>
      <name val="Calibri"/>
      <charset val="1"/>
      <family val="0"/>
      <b val="1"/>
      <color rgb="FF0F2547"/>
      <sz val="11"/>
    </font>
    <font>
      <name val="Calibri"/>
      <charset val="1"/>
      <family val="0"/>
      <b val="1"/>
      <sz val="9"/>
    </font>
    <font>
      <name val="Calibri"/>
      <charset val="1"/>
      <family val="0"/>
      <color rgb="FF0F2547"/>
      <sz val="10"/>
    </font>
    <font>
      <name val="Calibri"/>
      <charset val="1"/>
      <family val="0"/>
      <b val="1"/>
      <color rgb="FFC8973A"/>
      <sz val="11"/>
    </font>
    <font>
      <name val="Calibri"/>
      <charset val="1"/>
      <family val="0"/>
      <b val="1"/>
      <color rgb="FFC8973A"/>
      <sz val="16"/>
    </font>
    <font>
      <name val="Calibri"/>
      <charset val="1"/>
      <family val="0"/>
      <i val="1"/>
      <color rgb="FFCBD5E1"/>
      <sz val="8"/>
    </font>
    <font>
      <name val="Calibri"/>
      <charset val="1"/>
      <family val="0"/>
      <b val="1"/>
      <color rgb="FF374151"/>
      <sz val="10"/>
    </font>
    <font>
      <name val="Calibri"/>
      <charset val="1"/>
      <family val="0"/>
      <i val="1"/>
      <color rgb="FF94A3B8"/>
      <sz val="9"/>
    </font>
    <font>
      <name val="Calibri"/>
      <charset val="1"/>
      <family val="0"/>
      <color rgb="FF94A3B8"/>
      <sz val="7.5"/>
    </font>
    <font>
      <name val="Calibri"/>
      <charset val="1"/>
      <family val="0"/>
      <b val="1"/>
      <color rgb="FFC8973A"/>
      <sz val="13"/>
    </font>
    <font>
      <name val="Calibri"/>
      <charset val="1"/>
      <family val="0"/>
      <b val="1"/>
      <color rgb="FFC8973A"/>
      <sz val="14"/>
    </font>
    <font>
      <name val="Calibri"/>
      <charset val="1"/>
      <family val="0"/>
      <color rgb="FFC8973A"/>
      <sz val="14"/>
    </font>
    <font>
      <name val="Calibri"/>
      <charset val="1"/>
      <family val="0"/>
      <i val="1"/>
      <color rgb="FF94A3B8"/>
      <sz val="8.5"/>
    </font>
    <font>
      <name val="Calibri"/>
      <charset val="1"/>
      <family val="0"/>
      <b val="1"/>
      <color rgb="FF1D4ED8"/>
      <sz val="9.5"/>
    </font>
    <font>
      <name val="Calibri"/>
      <charset val="1"/>
      <family val="0"/>
      <b val="1"/>
      <color rgb="FFB45309"/>
      <sz val="9"/>
    </font>
    <font>
      <name val="Calibri"/>
      <charset val="1"/>
      <family val="0"/>
      <color rgb="FFCBD5E1"/>
      <sz val="9"/>
    </font>
    <font>
      <name val="Calibri"/>
      <charset val="1"/>
      <family val="0"/>
      <b val="1"/>
      <color rgb="FF15803D"/>
      <sz val="14"/>
    </font>
    <font>
      <name val="Calibri"/>
      <charset val="1"/>
      <family val="0"/>
      <b val="1"/>
      <color rgb="FFB91C1C"/>
      <sz val="14"/>
    </font>
    <font>
      <name val="Calibri"/>
      <charset val="1"/>
      <family val="0"/>
      <i val="1"/>
      <color rgb="FF15803D"/>
      <sz val="8"/>
    </font>
    <font>
      <name val="Calibri"/>
      <charset val="1"/>
      <family val="0"/>
      <b val="1"/>
      <color rgb="FFC8973A"/>
      <sz val="8.5"/>
    </font>
    <font>
      <name val="Calibri"/>
      <charset val="1"/>
      <family val="0"/>
      <color rgb="FF374151"/>
      <sz val="9"/>
    </font>
    <font>
      <name val="Calibri"/>
      <charset val="1"/>
      <family val="0"/>
      <color rgb="FF94A3B8"/>
      <sz val="9"/>
    </font>
    <font>
      <name val="Calibri"/>
      <charset val="1"/>
      <family val="0"/>
      <b val="1"/>
      <color rgb="FF0000CC"/>
      <sz val="9"/>
    </font>
    <font>
      <name val="Calibri"/>
      <charset val="1"/>
      <family val="0"/>
      <b val="1"/>
      <color rgb="FFB45309"/>
      <sz val="8.5"/>
    </font>
    <font>
      <name val="Calibri"/>
      <charset val="1"/>
      <family val="0"/>
      <b val="1"/>
      <color rgb="FFFFFFFF"/>
      <sz val="8"/>
    </font>
    <font>
      <name val="Calibri"/>
      <charset val="1"/>
      <family val="0"/>
      <color rgb="FF374151"/>
      <sz val="8"/>
    </font>
    <font>
      <name val="Calibri"/>
      <charset val="1"/>
      <family val="0"/>
      <b val="1"/>
      <color rgb="FF0F2547"/>
      <sz val="7.5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94A3B8"/>
      <sz val="8"/>
    </font>
    <font>
      <name val="Calibri"/>
      <family val="2"/>
      <color rgb="FF000000"/>
      <sz val="10"/>
    </font>
    <font>
      <name val="Arial"/>
      <b val="1"/>
      <color rgb="00FFFFFF"/>
      <sz val="18"/>
    </font>
    <font>
      <name val="Arial"/>
      <b val="1"/>
      <color rgb="0010B981"/>
      <sz val="11"/>
    </font>
    <font>
      <name val="Arial"/>
      <color rgb="00d4af37"/>
      <sz val="8"/>
    </font>
    <font>
      <name val="Arial"/>
      <b val="1"/>
      <color rgb="00A1A9B9"/>
      <sz val="10"/>
    </font>
    <font>
      <name val="Arial"/>
      <b val="1"/>
      <color rgb="00f35525"/>
      <sz val="38"/>
    </font>
    <font>
      <name val="Arial"/>
      <b val="1"/>
      <color rgb="00FFFFFF"/>
      <sz val="11"/>
    </font>
    <font>
      <name val="Arial"/>
      <color rgb="00A1A9B9"/>
      <sz val="10"/>
    </font>
    <font>
      <name val="Arial"/>
      <b val="1"/>
      <color rgb="00FFFFFF"/>
      <sz val="10"/>
    </font>
    <font>
      <name val="Arial"/>
      <b val="1"/>
      <color rgb="0010B981"/>
      <sz val="10"/>
    </font>
    <font>
      <name val="Arial"/>
      <color rgb="00A1A9B9"/>
      <sz val="9"/>
    </font>
    <font>
      <name val="Arial"/>
      <b val="1"/>
      <color rgb="00f35525"/>
      <sz val="11"/>
    </font>
    <font>
      <name val="Arial"/>
      <b val="1"/>
      <color rgb="00A1A9B9"/>
      <sz val="7"/>
    </font>
    <font>
      <name val="Arial"/>
      <b val="1"/>
      <color rgb="0010B981"/>
      <sz val="8"/>
    </font>
    <font>
      <name val="Arial"/>
      <b val="1"/>
      <color rgb="00f35525"/>
      <sz val="16"/>
    </font>
    <font>
      <name val="Arial"/>
      <color rgb="00A1A9B9"/>
      <sz val="8"/>
    </font>
    <font>
      <name val="Arial"/>
      <b val="1"/>
      <color rgb="0000bcd4"/>
      <sz val="16"/>
    </font>
    <font>
      <name val="Arial"/>
      <b val="1"/>
      <color rgb="0010B981"/>
      <sz val="16"/>
    </font>
    <font>
      <name val="Arial"/>
      <b val="1"/>
      <color rgb="0010B981"/>
      <sz val="12"/>
    </font>
    <font>
      <name val="Arial"/>
      <i val="1"/>
      <color rgb="00d4af37"/>
      <sz val="9"/>
    </font>
    <font>
      <name val="Arial"/>
      <b val="1"/>
      <color rgb="0010B981"/>
      <sz val="24"/>
    </font>
    <font>
      <name val="Arial"/>
      <b val="1"/>
      <color rgb="00d4af37"/>
      <sz val="12"/>
    </font>
    <font>
      <name val="Arial"/>
      <color rgb="00FFFFFF"/>
      <sz val="9"/>
    </font>
    <font>
      <name val="Arial"/>
      <color rgb="00475569"/>
      <sz val="7"/>
    </font>
  </fonts>
  <fills count="20">
    <fill>
      <patternFill/>
    </fill>
    <fill>
      <patternFill patternType="gray125"/>
    </fill>
    <fill>
      <patternFill patternType="solid">
        <fgColor rgb="FFC8973A"/>
        <bgColor rgb="FF9BBB59"/>
      </patternFill>
    </fill>
    <fill>
      <patternFill patternType="solid">
        <fgColor rgb="FF0F2547"/>
        <bgColor rgb="FF0F3460"/>
      </patternFill>
    </fill>
    <fill>
      <patternFill patternType="solid">
        <fgColor rgb="FFF8F9FC"/>
        <bgColor rgb="FFF1F5F9"/>
      </patternFill>
    </fill>
    <fill>
      <patternFill patternType="solid">
        <fgColor rgb="FFFFFFFF"/>
        <bgColor rgb="FFF8F9FC"/>
      </patternFill>
    </fill>
    <fill>
      <patternFill patternType="solid">
        <fgColor rgb="FFF5E6C8"/>
        <bgColor rgb="FFFFF3CD"/>
      </patternFill>
    </fill>
    <fill>
      <patternFill patternType="solid">
        <fgColor rgb="FF1B3A6B"/>
        <bgColor rgb="FF0F3460"/>
      </patternFill>
    </fill>
    <fill>
      <patternFill patternType="solid">
        <fgColor rgb="FFF1F5F9"/>
        <bgColor rgb="FFEBF4FF"/>
      </patternFill>
    </fill>
    <fill>
      <patternFill patternType="solid">
        <fgColor rgb="FFEBF4FF"/>
        <bgColor rgb="FFF1F5F9"/>
      </patternFill>
    </fill>
    <fill>
      <patternFill patternType="solid">
        <fgColor rgb="FF1E4A8A"/>
        <bgColor rgb="FF1B3A6B"/>
      </patternFill>
    </fill>
    <fill>
      <patternFill patternType="solid">
        <fgColor rgb="FFFFFBEB"/>
        <bgColor rgb="FFF8F9FC"/>
      </patternFill>
    </fill>
    <fill>
      <patternFill patternType="solid">
        <fgColor rgb="FF0F3460"/>
        <bgColor rgb="FF1B3A6B"/>
      </patternFill>
    </fill>
    <fill>
      <patternFill patternType="solid">
        <fgColor rgb="FFF0FDF4"/>
        <bgColor rgb="FFF8F9FC"/>
      </patternFill>
    </fill>
    <fill>
      <patternFill patternType="solid">
        <fgColor rgb="FFFEF2F2"/>
        <bgColor rgb="FFF8F9FC"/>
      </patternFill>
    </fill>
    <fill>
      <patternFill patternType="solid">
        <fgColor rgb="FFFFF3CD"/>
        <bgColor rgb="FFF5E6C8"/>
      </patternFill>
    </fill>
    <fill>
      <patternFill patternType="solid">
        <fgColor rgb="000a0f1c"/>
        <bgColor rgb="000a0f1c"/>
      </patternFill>
    </fill>
    <fill>
      <patternFill patternType="solid">
        <fgColor rgb="00131A2A"/>
        <bgColor rgb="00131A2A"/>
      </patternFill>
    </fill>
    <fill>
      <patternFill patternType="solid">
        <fgColor rgb="00192338"/>
        <bgColor rgb="00192338"/>
      </patternFill>
    </fill>
    <fill>
      <patternFill patternType="solid">
        <fgColor rgb="000d1929"/>
        <bgColor rgb="000d1929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C8973A"/>
      </bottom>
      <diagonal/>
    </border>
    <border>
      <left style="thin">
        <color rgb="FFC8973A"/>
      </left>
      <right style="thin">
        <color rgb="FFC8973A"/>
      </right>
      <top style="thin">
        <color rgb="FFC8973A"/>
      </top>
      <bottom style="thin">
        <color rgb="FFC8973A"/>
      </bottom>
      <diagonal/>
    </border>
    <border>
      <left/>
      <right/>
      <top style="medium">
        <color rgb="FF1B3A6B"/>
      </top>
      <bottom style="medium">
        <color rgb="FF1B3A6B"/>
      </bottom>
      <diagonal/>
    </border>
    <border>
      <left style="thin">
        <color rgb="FF0F2547"/>
      </left>
      <right style="thin">
        <color rgb="FF0F2547"/>
      </right>
      <top/>
      <bottom/>
      <diagonal/>
    </border>
    <border>
      <left/>
      <right/>
      <top style="thin">
        <color rgb="FFC8973A"/>
      </top>
      <bottom style="thin">
        <color rgb="FFC8973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1B3A6B"/>
      </top>
      <bottom/>
      <diagonal/>
    </border>
    <border>
      <left/>
      <right style="thin">
        <color rgb="FF0F2547"/>
      </right>
      <top/>
      <bottom/>
      <diagonal/>
    </border>
    <border>
      <left/>
      <right/>
      <top style="thin">
        <color rgb="FFC8973A"/>
      </top>
      <bottom/>
      <diagonal/>
    </border>
    <border>
      <left/>
      <right style="thin">
        <color rgb="FFC8973A"/>
      </right>
      <top style="thin">
        <color rgb="FFC8973A"/>
      </top>
      <bottom/>
      <diagonal/>
    </border>
    <border>
      <left/>
      <right style="thin">
        <color rgb="FFC8973A"/>
      </right>
      <top style="thin">
        <color rgb="FFC8973A"/>
      </top>
      <bottom style="thin">
        <color rgb="FFC8973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0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general" vertical="bottom"/>
    </xf>
    <xf numFmtId="0" fontId="11" fillId="7" borderId="0" applyAlignment="1" pivotButton="0" quotePrefix="0" xfId="0">
      <alignment horizontal="left" vertical="center"/>
    </xf>
    <xf numFmtId="3" fontId="8" fillId="6" borderId="2" applyAlignment="1" pivotButton="0" quotePrefix="0" xfId="0">
      <alignment horizontal="right" vertical="center"/>
    </xf>
    <xf numFmtId="0" fontId="12" fillId="5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general" vertical="bottom"/>
    </xf>
    <xf numFmtId="0" fontId="10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8" fillId="6" borderId="2" applyAlignment="1" pivotButton="0" quotePrefix="0" xfId="0">
      <alignment horizontal="right" vertical="center"/>
    </xf>
    <xf numFmtId="0" fontId="0" fillId="9" borderId="3" applyAlignment="1" pivotButton="0" quotePrefix="0" xfId="0">
      <alignment horizontal="general" vertical="bottom"/>
    </xf>
    <xf numFmtId="0" fontId="13" fillId="9" borderId="3" applyAlignment="1" pivotButton="0" quotePrefix="0" xfId="0">
      <alignment horizontal="left" vertical="center"/>
    </xf>
    <xf numFmtId="3" fontId="14" fillId="9" borderId="3" applyAlignment="1" pivotButton="0" quotePrefix="0" xfId="0">
      <alignment horizontal="right" vertical="center"/>
    </xf>
    <xf numFmtId="0" fontId="12" fillId="9" borderId="3" applyAlignment="1" pivotButton="0" quotePrefix="0" xfId="0">
      <alignment horizontal="general" vertical="bottom"/>
    </xf>
    <xf numFmtId="0" fontId="15" fillId="9" borderId="3" applyAlignment="1" pivotButton="0" quotePrefix="0" xfId="0">
      <alignment horizontal="left" vertical="center"/>
    </xf>
    <xf numFmtId="0" fontId="16" fillId="5" borderId="0" applyAlignment="1" pivotButton="0" quotePrefix="0" xfId="0">
      <alignment horizontal="right" vertical="center"/>
    </xf>
    <xf numFmtId="3" fontId="14" fillId="8" borderId="0" applyAlignment="1" pivotButton="0" quotePrefix="0" xfId="0">
      <alignment horizontal="right" vertical="center"/>
    </xf>
    <xf numFmtId="165" fontId="13" fillId="5" borderId="0" applyAlignment="1" pivotButton="0" quotePrefix="0" xfId="0">
      <alignment horizontal="right" vertical="center"/>
    </xf>
    <xf numFmtId="3" fontId="13" fillId="5" borderId="0" applyAlignment="1" pivotButton="0" quotePrefix="0" xfId="0">
      <alignment horizontal="right" vertical="center"/>
    </xf>
    <xf numFmtId="3" fontId="16" fillId="8" borderId="0" applyAlignment="1" pivotButton="0" quotePrefix="0" xfId="0">
      <alignment horizontal="right" vertical="center"/>
    </xf>
    <xf numFmtId="3" fontId="16" fillId="5" borderId="0" applyAlignment="1" pivotButton="0" quotePrefix="0" xfId="0">
      <alignment horizontal="right" vertical="center"/>
    </xf>
    <xf numFmtId="0" fontId="17" fillId="7" borderId="0" applyAlignment="1" pivotButton="0" quotePrefix="0" xfId="0">
      <alignment horizontal="left" vertical="center"/>
    </xf>
    <xf numFmtId="166" fontId="18" fillId="7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left" vertical="center"/>
    </xf>
    <xf numFmtId="0" fontId="20" fillId="5" borderId="0" applyAlignment="1" pivotButton="0" quotePrefix="0" xfId="0">
      <alignment horizontal="left" vertical="center"/>
    </xf>
    <xf numFmtId="0" fontId="21" fillId="8" borderId="0" applyAlignment="1" pivotButton="0" quotePrefix="0" xfId="0">
      <alignment horizontal="left" vertical="center"/>
    </xf>
    <xf numFmtId="0" fontId="22" fillId="7" borderId="4" applyAlignment="1" pivotButton="0" quotePrefix="0" xfId="0">
      <alignment horizontal="center" vertical="center"/>
    </xf>
    <xf numFmtId="0" fontId="22" fillId="10" borderId="4" applyAlignment="1" pivotButton="0" quotePrefix="0" xfId="0">
      <alignment horizontal="center" vertical="center"/>
    </xf>
    <xf numFmtId="166" fontId="23" fillId="7" borderId="4" applyAlignment="1" pivotButton="0" quotePrefix="0" xfId="0">
      <alignment horizontal="center" vertical="center"/>
    </xf>
    <xf numFmtId="166" fontId="23" fillId="10" borderId="4" applyAlignment="1" pivotButton="0" quotePrefix="0" xfId="0">
      <alignment horizontal="center" vertical="center"/>
    </xf>
    <xf numFmtId="165" fontId="23" fillId="7" borderId="4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right" vertical="center"/>
    </xf>
    <xf numFmtId="0" fontId="25" fillId="5" borderId="0" applyAlignment="1" pivotButton="0" quotePrefix="0" xfId="0">
      <alignment horizontal="left" vertical="center"/>
    </xf>
    <xf numFmtId="0" fontId="26" fillId="8" borderId="0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166" fontId="13" fillId="8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27" fillId="5" borderId="0" applyAlignment="1" pivotButton="0" quotePrefix="0" xfId="0">
      <alignment horizontal="left" vertical="center"/>
    </xf>
    <xf numFmtId="166" fontId="16" fillId="5" borderId="0" applyAlignment="1" pivotButton="0" quotePrefix="0" xfId="0">
      <alignment horizontal="right" vertical="center"/>
    </xf>
    <xf numFmtId="166" fontId="8" fillId="6" borderId="2" applyAlignment="1" pivotButton="0" quotePrefix="0" xfId="0">
      <alignment horizontal="right" vertical="center"/>
    </xf>
    <xf numFmtId="166" fontId="16" fillId="8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right" vertical="center"/>
    </xf>
    <xf numFmtId="0" fontId="0" fillId="11" borderId="5" applyAlignment="1" pivotButton="0" quotePrefix="0" xfId="0">
      <alignment horizontal="general" vertical="bottom"/>
    </xf>
    <xf numFmtId="0" fontId="28" fillId="11" borderId="5" applyAlignment="1" pivotButton="0" quotePrefix="0" xfId="0">
      <alignment horizontal="left" vertical="center"/>
    </xf>
    <xf numFmtId="0" fontId="0" fillId="12" borderId="0" applyAlignment="1" pivotButton="0" quotePrefix="0" xfId="0">
      <alignment horizontal="general" vertical="bottom"/>
    </xf>
    <xf numFmtId="0" fontId="29" fillId="12" borderId="0" applyAlignment="1" pivotButton="0" quotePrefix="0" xfId="0">
      <alignment horizontal="left" vertical="center"/>
    </xf>
    <xf numFmtId="166" fontId="30" fillId="13" borderId="0" applyAlignment="1" pivotButton="0" quotePrefix="0" xfId="0">
      <alignment horizontal="center" vertical="center"/>
    </xf>
    <xf numFmtId="0" fontId="29" fillId="12" borderId="0" applyAlignment="1" pivotButton="0" quotePrefix="0" xfId="0">
      <alignment horizontal="right" vertical="center"/>
    </xf>
    <xf numFmtId="166" fontId="31" fillId="1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0" fillId="13" borderId="0" applyAlignment="1" pivotButton="0" quotePrefix="0" xfId="0">
      <alignment horizontal="general" vertical="bottom"/>
    </xf>
    <xf numFmtId="0" fontId="32" fillId="1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33" fillId="3" borderId="0" applyAlignment="1" pivotButton="0" quotePrefix="0" xfId="0">
      <alignment horizontal="center" vertical="center"/>
    </xf>
    <xf numFmtId="0" fontId="34" fillId="5" borderId="6" applyAlignment="1" pivotButton="0" quotePrefix="0" xfId="0">
      <alignment horizontal="center" vertical="center"/>
    </xf>
    <xf numFmtId="3" fontId="34" fillId="5" borderId="6" applyAlignment="1" pivotButton="0" quotePrefix="0" xfId="0">
      <alignment horizontal="right" vertical="center"/>
    </xf>
    <xf numFmtId="0" fontId="34" fillId="8" borderId="6" applyAlignment="1" pivotButton="0" quotePrefix="0" xfId="0">
      <alignment horizontal="center" vertical="center"/>
    </xf>
    <xf numFmtId="3" fontId="34" fillId="8" borderId="6" applyAlignment="1" pivotButton="0" quotePrefix="0" xfId="0">
      <alignment horizontal="right" vertical="center"/>
    </xf>
    <xf numFmtId="0" fontId="33" fillId="3" borderId="0" applyAlignment="1" pivotButton="0" quotePrefix="0" xfId="0">
      <alignment horizontal="center" vertical="center"/>
    </xf>
    <xf numFmtId="0" fontId="34" fillId="5" borderId="6" applyAlignment="1" pivotButton="0" quotePrefix="0" xfId="0">
      <alignment horizontal="left" vertical="center"/>
    </xf>
    <xf numFmtId="0" fontId="35" fillId="5" borderId="6" applyAlignment="1" pivotButton="0" quotePrefix="0" xfId="0">
      <alignment horizontal="center" vertical="center"/>
    </xf>
    <xf numFmtId="0" fontId="36" fillId="6" borderId="6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5" borderId="6" applyAlignment="1" pivotButton="0" quotePrefix="0" xfId="0">
      <alignment horizontal="general" vertical="bottom"/>
    </xf>
    <xf numFmtId="0" fontId="34" fillId="8" borderId="6" applyAlignment="1" pivotButton="0" quotePrefix="0" xfId="0">
      <alignment horizontal="left" vertical="center"/>
    </xf>
    <xf numFmtId="0" fontId="35" fillId="8" borderId="6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0" fillId="8" borderId="6" applyAlignment="1" pivotButton="0" quotePrefix="0" xfId="0">
      <alignment horizontal="general" vertical="bottom"/>
    </xf>
    <xf numFmtId="0" fontId="37" fillId="15" borderId="0" applyAlignment="1" pivotButton="0" quotePrefix="0" xfId="0">
      <alignment horizontal="left" vertical="center"/>
    </xf>
    <xf numFmtId="0" fontId="38" fillId="7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left" vertical="center"/>
    </xf>
    <xf numFmtId="0" fontId="40" fillId="8" borderId="0" applyAlignment="1" pivotButton="0" quotePrefix="0" xfId="0">
      <alignment horizontal="center" vertical="center"/>
    </xf>
    <xf numFmtId="164" fontId="39" fillId="4" borderId="0" applyAlignment="1" pivotButton="0" quotePrefix="0" xfId="0">
      <alignment horizontal="center" vertical="center"/>
    </xf>
    <xf numFmtId="3" fontId="39" fillId="4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41" fillId="3" borderId="0" applyAlignment="1" pivotButton="0" quotePrefix="0" xfId="0">
      <alignment horizontal="left" vertical="center"/>
    </xf>
    <xf numFmtId="0" fontId="17" fillId="7" borderId="0" applyAlignment="1" pivotButton="0" quotePrefix="0" xfId="0">
      <alignment horizontal="center" vertical="center"/>
    </xf>
    <xf numFmtId="0" fontId="42" fillId="3" borderId="0" applyAlignment="1" pivotButton="0" quotePrefix="0" xfId="0">
      <alignment horizontal="center" vertical="center"/>
    </xf>
    <xf numFmtId="166" fontId="24" fillId="3" borderId="0" applyAlignment="1" pivotButton="0" quotePrefix="0" xfId="0">
      <alignment horizontal="center" vertical="center"/>
    </xf>
    <xf numFmtId="0" fontId="24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16" borderId="0" pivotButton="0" quotePrefix="0" xfId="0"/>
    <xf numFmtId="0" fontId="44" fillId="16" borderId="0" applyAlignment="1" pivotButton="0" quotePrefix="0" xfId="0">
      <alignment horizontal="left" vertical="center"/>
    </xf>
    <xf numFmtId="0" fontId="45" fillId="16" borderId="0" applyAlignment="1" pivotButton="0" quotePrefix="0" xfId="0">
      <alignment horizontal="right" vertical="center"/>
    </xf>
    <xf numFmtId="0" fontId="46" fillId="16" borderId="0" applyAlignment="1" pivotButton="0" quotePrefix="0" xfId="0">
      <alignment horizontal="left" vertical="center"/>
    </xf>
    <xf numFmtId="0" fontId="0" fillId="17" borderId="0" pivotButton="0" quotePrefix="0" xfId="0"/>
    <xf numFmtId="0" fontId="47" fillId="17" borderId="0" applyAlignment="1" pivotButton="0" quotePrefix="0" xfId="0">
      <alignment horizontal="center" vertical="center"/>
    </xf>
    <xf numFmtId="167" fontId="48" fillId="17" borderId="0" applyAlignment="1" pivotButton="0" quotePrefix="0" xfId="0">
      <alignment horizontal="center" vertical="center"/>
    </xf>
    <xf numFmtId="0" fontId="0" fillId="18" borderId="0" pivotButton="0" quotePrefix="0" xfId="0"/>
    <xf numFmtId="0" fontId="49" fillId="18" borderId="0" applyAlignment="1" pivotButton="0" quotePrefix="0" xfId="0">
      <alignment horizontal="center"/>
    </xf>
    <xf numFmtId="0" fontId="49" fillId="17" borderId="0" applyAlignment="1" pivotButton="0" quotePrefix="0" xfId="0">
      <alignment horizontal="center"/>
    </xf>
    <xf numFmtId="0" fontId="50" fillId="18" borderId="0" pivotButton="0" quotePrefix="0" xfId="0"/>
    <xf numFmtId="167" fontId="51" fillId="18" borderId="0" pivotButton="0" quotePrefix="0" xfId="0"/>
    <xf numFmtId="0" fontId="53" fillId="17" borderId="0" applyAlignment="1" pivotButton="0" quotePrefix="0" xfId="0">
      <alignment horizontal="center"/>
    </xf>
    <xf numFmtId="167" fontId="52" fillId="18" borderId="0" pivotButton="0" quotePrefix="0" xfId="0"/>
    <xf numFmtId="167" fontId="44" fillId="17" borderId="0" applyAlignment="1" pivotButton="0" quotePrefix="0" xfId="0">
      <alignment horizontal="center" vertical="center"/>
    </xf>
    <xf numFmtId="0" fontId="54" fillId="18" borderId="0" applyAlignment="1" pivotButton="0" quotePrefix="0" xfId="0">
      <alignment horizontal="center" vertical="center"/>
    </xf>
    <xf numFmtId="0" fontId="55" fillId="19" borderId="0" applyAlignment="1" pivotButton="0" quotePrefix="0" xfId="0">
      <alignment horizontal="center"/>
    </xf>
    <xf numFmtId="0" fontId="51" fillId="19" borderId="0" applyAlignment="1" pivotButton="0" quotePrefix="0" xfId="0">
      <alignment horizontal="center" vertical="center" wrapText="1"/>
    </xf>
    <xf numFmtId="167" fontId="57" fillId="19" borderId="0" applyAlignment="1" pivotButton="0" quotePrefix="0" xfId="0">
      <alignment horizontal="center" vertical="center"/>
    </xf>
    <xf numFmtId="167" fontId="59" fillId="19" borderId="0" applyAlignment="1" pivotButton="0" quotePrefix="0" xfId="0">
      <alignment horizontal="center" vertical="center"/>
    </xf>
    <xf numFmtId="167" fontId="60" fillId="19" borderId="0" applyAlignment="1" pivotButton="0" quotePrefix="0" xfId="0">
      <alignment horizontal="center" vertical="center"/>
    </xf>
    <xf numFmtId="0" fontId="56" fillId="19" borderId="0" applyAlignment="1" pivotButton="0" quotePrefix="0" xfId="0">
      <alignment horizontal="center"/>
    </xf>
    <xf numFmtId="0" fontId="58" fillId="19" borderId="0" applyAlignment="1" pivotButton="0" quotePrefix="0" xfId="0">
      <alignment horizontal="center"/>
    </xf>
    <xf numFmtId="0" fontId="61" fillId="18" borderId="0" applyAlignment="1" pivotButton="0" quotePrefix="0" xfId="0">
      <alignment horizontal="center" vertical="center"/>
    </xf>
    <xf numFmtId="0" fontId="62" fillId="18" borderId="0" applyAlignment="1" pivotButton="0" quotePrefix="0" xfId="0">
      <alignment horizontal="center" vertical="center"/>
    </xf>
    <xf numFmtId="0" fontId="50" fillId="18" borderId="0" applyAlignment="1" pivotButton="0" quotePrefix="0" xfId="0">
      <alignment horizontal="center"/>
    </xf>
    <xf numFmtId="167" fontId="44" fillId="18" borderId="0" applyAlignment="1" pivotButton="0" quotePrefix="0" xfId="0">
      <alignment horizontal="center" vertical="center"/>
    </xf>
    <xf numFmtId="167" fontId="63" fillId="18" borderId="0" applyAlignment="1" pivotButton="0" quotePrefix="0" xfId="0">
      <alignment horizontal="center" vertical="center"/>
    </xf>
    <xf numFmtId="0" fontId="64" fillId="16" borderId="0" applyAlignment="1" pivotButton="0" quotePrefix="0" xfId="0">
      <alignment horizontal="center" vertical="center"/>
    </xf>
    <xf numFmtId="0" fontId="65" fillId="17" borderId="0" applyAlignment="1" pivotButton="0" quotePrefix="0" xfId="0">
      <alignment horizontal="center" vertical="center" wrapText="1"/>
    </xf>
    <xf numFmtId="0" fontId="66" fillId="16" borderId="0" applyAlignment="1" pivotButton="0" quotePrefix="0" xfId="0">
      <alignment horizontal="center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general" vertical="bottom"/>
    </xf>
    <xf numFmtId="0" fontId="11" fillId="7" borderId="0" applyAlignment="1" pivotButton="0" quotePrefix="0" xfId="0">
      <alignment horizontal="left" vertical="center"/>
    </xf>
    <xf numFmtId="3" fontId="8" fillId="6" borderId="2" applyAlignment="1" pivotButton="0" quotePrefix="0" xfId="0">
      <alignment horizontal="right" vertical="center"/>
    </xf>
    <xf numFmtId="0" fontId="12" fillId="5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general" vertical="bottom"/>
    </xf>
    <xf numFmtId="0" fontId="10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8" fillId="6" borderId="2" applyAlignment="1" pivotButton="0" quotePrefix="0" xfId="0">
      <alignment horizontal="right" vertical="center"/>
    </xf>
    <xf numFmtId="0" fontId="0" fillId="9" borderId="3" applyAlignment="1" pivotButton="0" quotePrefix="0" xfId="0">
      <alignment horizontal="general" vertical="bottom"/>
    </xf>
    <xf numFmtId="0" fontId="13" fillId="9" borderId="3" applyAlignment="1" pivotButton="0" quotePrefix="0" xfId="0">
      <alignment horizontal="left" vertical="center"/>
    </xf>
    <xf numFmtId="3" fontId="14" fillId="9" borderId="3" applyAlignment="1" pivotButton="0" quotePrefix="0" xfId="0">
      <alignment horizontal="right" vertical="center"/>
    </xf>
    <xf numFmtId="0" fontId="12" fillId="9" borderId="3" applyAlignment="1" pivotButton="0" quotePrefix="0" xfId="0">
      <alignment horizontal="general" vertical="bottom"/>
    </xf>
    <xf numFmtId="0" fontId="15" fillId="9" borderId="3" applyAlignment="1" pivotButton="0" quotePrefix="0" xfId="0">
      <alignment horizontal="left" vertical="center"/>
    </xf>
    <xf numFmtId="0" fontId="0" fillId="0" borderId="3" pivotButton="0" quotePrefix="0" xfId="0"/>
    <xf numFmtId="0" fontId="16" fillId="5" borderId="0" applyAlignment="1" pivotButton="0" quotePrefix="0" xfId="0">
      <alignment horizontal="right" vertical="center"/>
    </xf>
    <xf numFmtId="3" fontId="14" fillId="8" borderId="0" applyAlignment="1" pivotButton="0" quotePrefix="0" xfId="0">
      <alignment horizontal="right" vertical="center"/>
    </xf>
    <xf numFmtId="165" fontId="13" fillId="5" borderId="0" applyAlignment="1" pivotButton="0" quotePrefix="0" xfId="0">
      <alignment horizontal="right" vertical="center"/>
    </xf>
    <xf numFmtId="3" fontId="13" fillId="5" borderId="0" applyAlignment="1" pivotButton="0" quotePrefix="0" xfId="0">
      <alignment horizontal="right" vertical="center"/>
    </xf>
    <xf numFmtId="3" fontId="16" fillId="8" borderId="0" applyAlignment="1" pivotButton="0" quotePrefix="0" xfId="0">
      <alignment horizontal="right" vertical="center"/>
    </xf>
    <xf numFmtId="3" fontId="16" fillId="5" borderId="0" applyAlignment="1" pivotButton="0" quotePrefix="0" xfId="0">
      <alignment horizontal="right" vertical="center"/>
    </xf>
    <xf numFmtId="0" fontId="17" fillId="7" borderId="0" applyAlignment="1" pivotButton="0" quotePrefix="0" xfId="0">
      <alignment horizontal="left" vertical="center"/>
    </xf>
    <xf numFmtId="166" fontId="18" fillId="7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left" vertical="center"/>
    </xf>
    <xf numFmtId="0" fontId="20" fillId="5" borderId="0" applyAlignment="1" pivotButton="0" quotePrefix="0" xfId="0">
      <alignment horizontal="left" vertical="center"/>
    </xf>
    <xf numFmtId="0" fontId="21" fillId="8" borderId="0" applyAlignment="1" pivotButton="0" quotePrefix="0" xfId="0">
      <alignment horizontal="left" vertical="center"/>
    </xf>
    <xf numFmtId="0" fontId="22" fillId="7" borderId="4" applyAlignment="1" pivotButton="0" quotePrefix="0" xfId="0">
      <alignment horizontal="center" vertical="center"/>
    </xf>
    <xf numFmtId="0" fontId="0" fillId="0" borderId="8" pivotButton="0" quotePrefix="0" xfId="0"/>
    <xf numFmtId="0" fontId="22" fillId="10" borderId="4" applyAlignment="1" pivotButton="0" quotePrefix="0" xfId="0">
      <alignment horizontal="center" vertical="center"/>
    </xf>
    <xf numFmtId="166" fontId="23" fillId="7" borderId="4" applyAlignment="1" pivotButton="0" quotePrefix="0" xfId="0">
      <alignment horizontal="center" vertical="center"/>
    </xf>
    <xf numFmtId="166" fontId="23" fillId="10" borderId="4" applyAlignment="1" pivotButton="0" quotePrefix="0" xfId="0">
      <alignment horizontal="center" vertical="center"/>
    </xf>
    <xf numFmtId="165" fontId="23" fillId="7" borderId="4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right" vertical="center"/>
    </xf>
    <xf numFmtId="0" fontId="25" fillId="5" borderId="0" applyAlignment="1" pivotButton="0" quotePrefix="0" xfId="0">
      <alignment horizontal="left" vertical="center"/>
    </xf>
    <xf numFmtId="0" fontId="26" fillId="8" borderId="0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11" pivotButton="0" quotePrefix="0" xfId="0"/>
    <xf numFmtId="166" fontId="13" fillId="8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27" fillId="5" borderId="0" applyAlignment="1" pivotButton="0" quotePrefix="0" xfId="0">
      <alignment horizontal="left" vertical="center"/>
    </xf>
    <xf numFmtId="166" fontId="16" fillId="5" borderId="0" applyAlignment="1" pivotButton="0" quotePrefix="0" xfId="0">
      <alignment horizontal="right" vertical="center"/>
    </xf>
    <xf numFmtId="166" fontId="8" fillId="6" borderId="2" applyAlignment="1" pivotButton="0" quotePrefix="0" xfId="0">
      <alignment horizontal="right" vertical="center"/>
    </xf>
    <xf numFmtId="166" fontId="16" fillId="8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right" vertical="center"/>
    </xf>
    <xf numFmtId="0" fontId="0" fillId="11" borderId="5" applyAlignment="1" pivotButton="0" quotePrefix="0" xfId="0">
      <alignment horizontal="general" vertical="bottom"/>
    </xf>
    <xf numFmtId="0" fontId="28" fillId="11" borderId="5" applyAlignment="1" pivotButton="0" quotePrefix="0" xfId="0">
      <alignment horizontal="left" vertical="center"/>
    </xf>
    <xf numFmtId="0" fontId="0" fillId="12" borderId="0" applyAlignment="1" pivotButton="0" quotePrefix="0" xfId="0">
      <alignment horizontal="general" vertical="bottom"/>
    </xf>
    <xf numFmtId="0" fontId="29" fillId="12" borderId="0" applyAlignment="1" pivotButton="0" quotePrefix="0" xfId="0">
      <alignment horizontal="left" vertical="center"/>
    </xf>
    <xf numFmtId="166" fontId="30" fillId="13" borderId="0" applyAlignment="1" pivotButton="0" quotePrefix="0" xfId="0">
      <alignment horizontal="center" vertical="center"/>
    </xf>
    <xf numFmtId="0" fontId="29" fillId="12" borderId="0" applyAlignment="1" pivotButton="0" quotePrefix="0" xfId="0">
      <alignment horizontal="right" vertical="center"/>
    </xf>
    <xf numFmtId="166" fontId="31" fillId="1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0" fillId="13" borderId="0" applyAlignment="1" pivotButton="0" quotePrefix="0" xfId="0">
      <alignment horizontal="general" vertical="bottom"/>
    </xf>
    <xf numFmtId="0" fontId="32" fillId="1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33" fillId="3" borderId="0" applyAlignment="1" pivotButton="0" quotePrefix="0" xfId="0">
      <alignment horizontal="center" vertical="center"/>
    </xf>
    <xf numFmtId="0" fontId="34" fillId="5" borderId="6" applyAlignment="1" pivotButton="0" quotePrefix="0" xfId="0">
      <alignment horizontal="center" vertical="center"/>
    </xf>
    <xf numFmtId="3" fontId="34" fillId="5" borderId="6" applyAlignment="1" pivotButton="0" quotePrefix="0" xfId="0">
      <alignment horizontal="right" vertical="center"/>
    </xf>
    <xf numFmtId="0" fontId="34" fillId="8" borderId="6" applyAlignment="1" pivotButton="0" quotePrefix="0" xfId="0">
      <alignment horizontal="center" vertical="center"/>
    </xf>
    <xf numFmtId="3" fontId="34" fillId="8" borderId="6" applyAlignment="1" pivotButton="0" quotePrefix="0" xfId="0">
      <alignment horizontal="right" vertical="center"/>
    </xf>
    <xf numFmtId="0" fontId="34" fillId="5" borderId="6" applyAlignment="1" pivotButton="0" quotePrefix="0" xfId="0">
      <alignment horizontal="left" vertical="center"/>
    </xf>
    <xf numFmtId="0" fontId="35" fillId="5" borderId="6" applyAlignment="1" pivotButton="0" quotePrefix="0" xfId="0">
      <alignment horizontal="center" vertical="center"/>
    </xf>
    <xf numFmtId="0" fontId="36" fillId="6" borderId="6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5" borderId="6" applyAlignment="1" pivotButton="0" quotePrefix="0" xfId="0">
      <alignment horizontal="general" vertical="bottom"/>
    </xf>
    <xf numFmtId="0" fontId="0" fillId="0" borderId="6" pivotButton="0" quotePrefix="0" xfId="0"/>
    <xf numFmtId="0" fontId="34" fillId="8" borderId="6" applyAlignment="1" pivotButton="0" quotePrefix="0" xfId="0">
      <alignment horizontal="left" vertical="center"/>
    </xf>
    <xf numFmtId="0" fontId="35" fillId="8" borderId="6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0" fillId="8" borderId="6" applyAlignment="1" pivotButton="0" quotePrefix="0" xfId="0">
      <alignment horizontal="general" vertical="bottom"/>
    </xf>
    <xf numFmtId="0" fontId="37" fillId="15" borderId="0" applyAlignment="1" pivotButton="0" quotePrefix="0" xfId="0">
      <alignment horizontal="left" vertical="center"/>
    </xf>
    <xf numFmtId="0" fontId="38" fillId="7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left" vertical="center"/>
    </xf>
    <xf numFmtId="0" fontId="40" fillId="8" borderId="0" applyAlignment="1" pivotButton="0" quotePrefix="0" xfId="0">
      <alignment horizontal="center" vertical="center"/>
    </xf>
    <xf numFmtId="164" fontId="39" fillId="4" borderId="0" applyAlignment="1" pivotButton="0" quotePrefix="0" xfId="0">
      <alignment horizontal="center" vertical="center"/>
    </xf>
    <xf numFmtId="3" fontId="39" fillId="4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CC"/>
      <rgbColor rgb="FFFFFBEB"/>
      <rgbColor rgb="FFFF00FF"/>
      <rgbColor rgb="FF00FFFF"/>
      <rgbColor rgb="FF800000"/>
      <rgbColor rgb="FF15803D"/>
      <rgbColor rgb="FF000080"/>
      <rgbColor rgb="FF808000"/>
      <rgbColor rgb="FF800080"/>
      <rgbColor rgb="FF1E4A8A"/>
      <rgbColor rgb="FFB3B3B3"/>
      <rgbColor rgb="FF4F81BD"/>
      <rgbColor rgb="FF9999FF"/>
      <rgbColor rgb="FFC0504D"/>
      <rgbColor rgb="FFFFF3CD"/>
      <rgbColor rgb="FFEBF4FF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2E8F0"/>
      <rgbColor rgb="FFF5E6C8"/>
      <rgbColor rgb="FFF1F5F9"/>
      <rgbColor rgb="FFFEF2F2"/>
      <rgbColor rgb="FFF8F9FC"/>
      <rgbColor rgb="FFD9D9D9"/>
      <rgbColor rgb="FF3366FF"/>
      <rgbColor rgb="FF4BACC6"/>
      <rgbColor rgb="FF9BBB59"/>
      <rgbColor rgb="FFFFCC00"/>
      <rgbColor rgb="FFC8973A"/>
      <rgbColor rgb="FFFF6600"/>
      <rgbColor rgb="FF8064A2"/>
      <rgbColor rgb="FF94A3B8"/>
      <rgbColor rgb="FF0F3460"/>
      <rgbColor rgb="FF339966"/>
      <rgbColor rgb="FF0F2547"/>
      <rgbColor rgb="FF333300"/>
      <rgbColor rgb="FFB91C1C"/>
      <rgbColor rgb="FFB45309"/>
      <rgbColor rgb="FF1B3A6B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showGridLines="0" workbookViewId="0">
      <selection activeCell="A1" sqref="A1"/>
    </sheetView>
  </sheetViews>
  <sheetFormatPr baseColWidth="8" defaultRowHeight="15"/>
  <cols>
    <col width="4" customWidth="1" style="102" min="1" max="1"/>
    <col width="4" customWidth="1" style="102" min="2" max="2"/>
    <col width="15" customWidth="1" style="102" min="3" max="3"/>
    <col width="15" customWidth="1" style="102" min="4" max="4"/>
    <col width="15" customWidth="1" style="102" min="5" max="5"/>
    <col width="15" customWidth="1" style="102" min="6" max="6"/>
    <col width="15" customWidth="1" style="102" min="7" max="7"/>
    <col width="15" customWidth="1" style="102" min="8" max="8"/>
    <col width="15" customWidth="1" style="102" min="9" max="9"/>
    <col width="15" customWidth="1" style="102" min="10" max="10"/>
    <col width="4" customWidth="1" style="102" min="11" max="11"/>
  </cols>
  <sheetData>
    <row r="1">
      <c r="A1" s="103" t="n"/>
      <c r="B1" s="103" t="n"/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</row>
    <row r="2">
      <c r="A2" s="103" t="n"/>
      <c r="B2" s="103" t="n"/>
      <c r="C2" s="104" t="inlineStr">
        <is>
          <t>DOSSIÊ DE VIABILIDADE E CRÉDITO</t>
        </is>
      </c>
      <c r="H2" s="105" t="inlineStr">
        <is>
          <t>✔ APROVADO (76 PTS)</t>
        </is>
      </c>
      <c r="K2" s="103" t="n"/>
      <c r="L2" s="103" t="n"/>
      <c r="M2" s="103" t="n"/>
      <c r="N2" s="103" t="n"/>
      <c r="O2" s="103" t="n"/>
      <c r="P2" s="103" t="n"/>
      <c r="Q2" s="103" t="n"/>
      <c r="R2" s="103" t="n"/>
      <c r="S2" s="103" t="n"/>
    </row>
    <row r="3">
      <c r="A3" s="103" t="n"/>
      <c r="B3" s="103" t="n"/>
      <c r="K3" s="103" t="n"/>
      <c r="L3" s="103" t="n"/>
      <c r="M3" s="103" t="n"/>
      <c r="N3" s="103" t="n"/>
      <c r="O3" s="103" t="n"/>
      <c r="P3" s="103" t="n"/>
      <c r="Q3" s="103" t="n"/>
      <c r="R3" s="103" t="n"/>
      <c r="S3" s="103" t="n"/>
    </row>
    <row r="4">
      <c r="A4" s="103" t="n"/>
      <c r="B4" s="103" t="n"/>
      <c r="C4" s="106" t="inlineStr">
        <is>
          <t>MARCOS HENRIQUE ANDRADE DE MEDEIROS | 30 ANOS</t>
        </is>
      </c>
      <c r="K4" s="103" t="n"/>
      <c r="L4" s="103" t="n"/>
      <c r="M4" s="103" t="n"/>
      <c r="N4" s="103" t="n"/>
      <c r="O4" s="103" t="n"/>
      <c r="P4" s="103" t="n"/>
      <c r="Q4" s="103" t="n"/>
      <c r="R4" s="103" t="n"/>
      <c r="S4" s="103" t="n"/>
    </row>
    <row r="5">
      <c r="A5" s="103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103" t="n"/>
      <c r="M5" s="103" t="n"/>
      <c r="N5" s="103" t="n"/>
      <c r="O5" s="103" t="n"/>
      <c r="P5" s="103" t="n"/>
      <c r="Q5" s="103" t="n"/>
      <c r="R5" s="103" t="n"/>
      <c r="S5" s="103" t="n"/>
    </row>
    <row r="6">
      <c r="A6" s="103" t="n"/>
      <c r="B6" s="103" t="n"/>
      <c r="C6" s="107" t="n"/>
      <c r="D6" s="107" t="n"/>
      <c r="E6" s="107" t="n"/>
      <c r="F6" s="107" t="n"/>
      <c r="G6" s="107" t="n"/>
      <c r="H6" s="107" t="n"/>
      <c r="I6" s="107" t="n"/>
      <c r="J6" s="107" t="n"/>
      <c r="K6" s="103" t="n"/>
      <c r="L6" s="103" t="n"/>
      <c r="M6" s="103" t="n"/>
      <c r="N6" s="103" t="n"/>
      <c r="O6" s="103" t="n"/>
      <c r="P6" s="103" t="n"/>
      <c r="Q6" s="103" t="n"/>
      <c r="R6" s="103" t="n"/>
      <c r="S6" s="103" t="n"/>
    </row>
    <row r="7">
      <c r="A7" s="103" t="n"/>
      <c r="B7" s="103" t="n"/>
      <c r="C7" s="107" t="n"/>
      <c r="D7" s="107" t="n"/>
      <c r="E7" s="107" t="n"/>
      <c r="F7" s="107" t="n"/>
      <c r="G7" s="107" t="n"/>
      <c r="H7" s="107" t="n"/>
      <c r="I7" s="107" t="n"/>
      <c r="J7" s="107" t="n"/>
      <c r="K7" s="103" t="n"/>
      <c r="L7" s="103" t="n"/>
      <c r="M7" s="103" t="n"/>
      <c r="N7" s="103" t="n"/>
      <c r="O7" s="103" t="n"/>
      <c r="P7" s="103" t="n"/>
      <c r="Q7" s="103" t="n"/>
      <c r="R7" s="103" t="n"/>
      <c r="S7" s="103" t="n"/>
    </row>
    <row r="8">
      <c r="A8" s="103" t="n"/>
      <c r="B8" s="103" t="n"/>
      <c r="C8" s="107" t="n"/>
      <c r="D8" s="108" t="inlineStr">
        <is>
          <t>CAPACIDADE TOTAL DE COMPRA LIBERADA PARA NEGOCIAÇÃO</t>
        </is>
      </c>
      <c r="J8" s="107" t="n"/>
      <c r="K8" s="103" t="n"/>
      <c r="L8" s="103" t="n"/>
      <c r="M8" s="103" t="n"/>
      <c r="N8" s="103" t="n"/>
      <c r="O8" s="103" t="n"/>
      <c r="P8" s="103" t="n"/>
      <c r="Q8" s="103" t="n"/>
      <c r="R8" s="103" t="n"/>
      <c r="S8" s="103" t="n"/>
    </row>
    <row r="9">
      <c r="A9" s="103" t="n"/>
      <c r="B9" s="103" t="n"/>
      <c r="C9" s="107" t="n"/>
      <c r="D9" s="109" t="inlineStr"/>
      <c r="J9" s="107" t="n"/>
      <c r="K9" s="103" t="n"/>
      <c r="L9" s="103" t="n"/>
      <c r="M9" s="103" t="n"/>
      <c r="N9" s="103" t="n"/>
      <c r="O9" s="103" t="n"/>
      <c r="P9" s="103" t="n"/>
      <c r="Q9" s="103" t="n"/>
      <c r="R9" s="103" t="n"/>
      <c r="S9" s="103" t="n"/>
    </row>
    <row r="10">
      <c r="A10" s="103" t="n"/>
      <c r="B10" s="103" t="n"/>
      <c r="C10" s="107" t="n"/>
      <c r="J10" s="107" t="n"/>
      <c r="K10" s="103" t="n"/>
      <c r="L10" s="103" t="n"/>
      <c r="M10" s="103" t="n"/>
      <c r="N10" s="103" t="n"/>
      <c r="O10" s="103" t="n"/>
      <c r="P10" s="103" t="n"/>
      <c r="Q10" s="103" t="n"/>
      <c r="R10" s="103" t="n"/>
      <c r="S10" s="103" t="n"/>
    </row>
    <row r="11">
      <c r="A11" s="103" t="n"/>
      <c r="B11" s="103" t="n"/>
      <c r="C11" s="107" t="n"/>
      <c r="D11" s="107" t="n"/>
      <c r="E11" s="107" t="n"/>
      <c r="F11" s="107" t="n"/>
      <c r="G11" s="107" t="n"/>
      <c r="H11" s="107" t="n"/>
      <c r="I11" s="107" t="n"/>
      <c r="J11" s="107" t="n"/>
      <c r="K11" s="103" t="n"/>
      <c r="L11" s="103" t="n"/>
      <c r="M11" s="103" t="n"/>
      <c r="N11" s="103" t="n"/>
      <c r="O11" s="103" t="n"/>
      <c r="P11" s="103" t="n"/>
      <c r="Q11" s="103" t="n"/>
      <c r="R11" s="103" t="n"/>
      <c r="S11" s="103" t="n"/>
    </row>
    <row r="12">
      <c r="A12" s="103" t="n"/>
      <c r="B12" s="103" t="n"/>
      <c r="C12" s="103" t="n"/>
      <c r="D12" s="103" t="n"/>
      <c r="E12" s="103" t="n"/>
      <c r="F12" s="103" t="n"/>
      <c r="G12" s="103" t="n"/>
      <c r="H12" s="103" t="n"/>
      <c r="I12" s="103" t="n"/>
      <c r="J12" s="103" t="n"/>
      <c r="K12" s="103" t="n"/>
      <c r="L12" s="103" t="n"/>
      <c r="M12" s="103" t="n"/>
      <c r="N12" s="103" t="n"/>
      <c r="O12" s="103" t="n"/>
      <c r="P12" s="103" t="n"/>
      <c r="Q12" s="103" t="n"/>
      <c r="R12" s="103" t="n"/>
      <c r="S12" s="103" t="n"/>
    </row>
    <row r="13">
      <c r="A13" s="103" t="n"/>
      <c r="B13" s="103" t="n"/>
      <c r="C13" s="110" t="n"/>
      <c r="D13" s="110" t="n"/>
      <c r="E13" s="110" t="n"/>
      <c r="F13" s="110" t="n"/>
      <c r="G13" s="107" t="n"/>
      <c r="H13" s="107" t="n"/>
      <c r="I13" s="107" t="n"/>
      <c r="J13" s="107" t="n"/>
      <c r="K13" s="103" t="n"/>
      <c r="L13" s="103" t="n"/>
      <c r="M13" s="103" t="n"/>
      <c r="N13" s="103" t="n"/>
      <c r="O13" s="103" t="n"/>
      <c r="P13" s="103" t="n"/>
      <c r="Q13" s="103" t="n"/>
      <c r="R13" s="103" t="n"/>
      <c r="S13" s="103" t="n"/>
    </row>
    <row r="14">
      <c r="A14" s="103" t="n"/>
      <c r="B14" s="103" t="n"/>
      <c r="C14" s="111" t="inlineStr">
        <is>
          <t>DADOS DE CRÉDITO IA</t>
        </is>
      </c>
      <c r="G14" s="107" t="n"/>
      <c r="H14" s="112" t="inlineStr">
        <is>
          <t>O SEU INVESTIMENTO HOJE</t>
        </is>
      </c>
      <c r="J14" s="107" t="n"/>
      <c r="K14" s="103" t="n"/>
      <c r="L14" s="103" t="n"/>
      <c r="M14" s="103" t="n"/>
      <c r="N14" s="103" t="n"/>
      <c r="O14" s="103" t="n"/>
      <c r="P14" s="103" t="n"/>
      <c r="Q14" s="103" t="n"/>
      <c r="R14" s="103" t="n"/>
      <c r="S14" s="103" t="n"/>
    </row>
    <row r="15">
      <c r="A15" s="103" t="n"/>
      <c r="B15" s="103" t="n"/>
      <c r="C15" s="110" t="n"/>
      <c r="D15" s="110" t="n"/>
      <c r="E15" s="110" t="n"/>
      <c r="F15" s="110" t="n"/>
      <c r="G15" s="107" t="n"/>
      <c r="H15" s="107" t="n"/>
      <c r="I15" s="107" t="n"/>
      <c r="J15" s="107" t="n"/>
      <c r="K15" s="103" t="n"/>
      <c r="L15" s="103" t="n"/>
      <c r="M15" s="103" t="n"/>
      <c r="N15" s="103" t="n"/>
      <c r="O15" s="103" t="n"/>
      <c r="P15" s="103" t="n"/>
      <c r="Q15" s="103" t="n"/>
      <c r="R15" s="103" t="n"/>
      <c r="S15" s="103" t="n"/>
    </row>
    <row r="16">
      <c r="A16" s="103" t="n"/>
      <c r="B16" s="103" t="n"/>
      <c r="C16" s="113" t="inlineStr">
        <is>
          <t xml:space="preserve"> CRÉDITO CAIXA:</t>
        </is>
      </c>
      <c r="D16" s="110" t="n"/>
      <c r="E16" s="114">
        <f>'Fluxo Detalhado'!D27</f>
        <v/>
      </c>
      <c r="F16" s="110" t="n"/>
      <c r="G16" s="107" t="n"/>
      <c r="H16" s="115" t="inlineStr">
        <is>
          <t>Entrada Disponível / Acordada</t>
        </is>
      </c>
      <c r="J16" s="107" t="n"/>
      <c r="K16" s="103" t="n"/>
      <c r="L16" s="103" t="n"/>
      <c r="M16" s="103" t="n"/>
      <c r="N16" s="103" t="n"/>
      <c r="O16" s="103" t="n"/>
      <c r="P16" s="103" t="n"/>
      <c r="Q16" s="103" t="n"/>
      <c r="R16" s="103" t="n"/>
      <c r="S16" s="103" t="n"/>
    </row>
    <row r="17">
      <c r="A17" s="103" t="n"/>
      <c r="B17" s="103" t="n"/>
      <c r="C17" s="113" t="inlineStr">
        <is>
          <t xml:space="preserve"> SUBSÍDIO (Governo):</t>
        </is>
      </c>
      <c r="D17" s="110" t="n"/>
      <c r="E17" s="116">
        <f>'Fluxo Detalhado'!D29</f>
        <v/>
      </c>
      <c r="F17" s="110" t="n"/>
      <c r="G17" s="107" t="n"/>
      <c r="H17" s="117">
        <f>'Fluxo Detalhado'!C13</f>
        <v/>
      </c>
      <c r="J17" s="107" t="n"/>
      <c r="K17" s="103" t="n"/>
      <c r="L17" s="103" t="n"/>
      <c r="M17" s="103" t="n"/>
      <c r="N17" s="103" t="n"/>
      <c r="O17" s="103" t="n"/>
      <c r="P17" s="103" t="n"/>
      <c r="Q17" s="103" t="n"/>
      <c r="R17" s="103" t="n"/>
      <c r="S17" s="103" t="n"/>
    </row>
    <row r="18">
      <c r="A18" s="103" t="n"/>
      <c r="B18" s="103" t="n"/>
      <c r="C18" s="113" t="inlineStr">
        <is>
          <t xml:space="preserve"> SALDO FGTS:</t>
        </is>
      </c>
      <c r="D18" s="110" t="n"/>
      <c r="E18" s="114">
        <f>'Fluxo Detalhado'!C14</f>
        <v/>
      </c>
      <c r="F18" s="110" t="n"/>
      <c r="G18" s="107" t="n"/>
      <c r="J18" s="107" t="n"/>
      <c r="K18" s="103" t="n"/>
      <c r="L18" s="103" t="n"/>
      <c r="M18" s="103" t="n"/>
      <c r="N18" s="103" t="n"/>
      <c r="O18" s="103" t="n"/>
      <c r="P18" s="103" t="n"/>
      <c r="Q18" s="103" t="n"/>
      <c r="R18" s="103" t="n"/>
      <c r="S18" s="103" t="n"/>
    </row>
    <row r="19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  <c r="N19" s="103" t="n"/>
      <c r="O19" s="103" t="n"/>
      <c r="P19" s="103" t="n"/>
      <c r="Q19" s="103" t="n"/>
      <c r="R19" s="103" t="n"/>
      <c r="S19" s="103" t="n"/>
    </row>
    <row r="20">
      <c r="A20" s="103" t="n"/>
      <c r="B20" s="103" t="n"/>
      <c r="C20" s="103" t="n"/>
      <c r="D20" s="103" t="n"/>
      <c r="E20" s="103" t="n"/>
      <c r="F20" s="103" t="n"/>
      <c r="G20" s="103" t="n"/>
      <c r="H20" s="103" t="n"/>
      <c r="I20" s="103" t="n"/>
      <c r="J20" s="103" t="n"/>
      <c r="K20" s="103" t="n"/>
      <c r="L20" s="103" t="n"/>
      <c r="M20" s="103" t="n"/>
      <c r="N20" s="103" t="n"/>
      <c r="O20" s="103" t="n"/>
      <c r="P20" s="103" t="n"/>
      <c r="Q20" s="103" t="n"/>
      <c r="R20" s="103" t="n"/>
      <c r="S20" s="103" t="n"/>
    </row>
    <row r="21">
      <c r="A21" s="103" t="n"/>
      <c r="B21" s="103" t="n"/>
      <c r="C21" s="110" t="n"/>
      <c r="D21" s="110" t="n"/>
      <c r="E21" s="110" t="n"/>
      <c r="F21" s="110" t="n"/>
      <c r="G21" s="110" t="n"/>
      <c r="H21" s="110" t="n"/>
      <c r="I21" s="110" t="n"/>
      <c r="J21" s="110" t="n"/>
      <c r="K21" s="103" t="n"/>
      <c r="L21" s="103" t="n"/>
      <c r="M21" s="103" t="n"/>
      <c r="N21" s="103" t="n"/>
      <c r="O21" s="103" t="n"/>
      <c r="P21" s="103" t="n"/>
      <c r="Q21" s="103" t="n"/>
      <c r="R21" s="103" t="n"/>
      <c r="S21" s="103" t="n"/>
    </row>
    <row r="22">
      <c r="A22" s="103" t="n"/>
      <c r="B22" s="103" t="n"/>
      <c r="C22" s="118" t="inlineStr">
        <is>
          <t>💳 PLANO DE FLUXO DE PAGAMENTO (CONSTRUTORA + BANCO)</t>
        </is>
      </c>
      <c r="K22" s="103" t="n"/>
      <c r="L22" s="103" t="n"/>
      <c r="M22" s="103" t="n"/>
      <c r="N22" s="103" t="n"/>
      <c r="O22" s="103" t="n"/>
      <c r="P22" s="103" t="n"/>
      <c r="Q22" s="103" t="n"/>
      <c r="R22" s="103" t="n"/>
      <c r="S22" s="103" t="n"/>
    </row>
    <row r="23">
      <c r="A23" s="103" t="n"/>
      <c r="B23" s="103" t="n"/>
      <c r="C23" s="110" t="n"/>
      <c r="D23" s="110" t="n"/>
      <c r="E23" s="110" t="n"/>
      <c r="F23" s="110" t="n"/>
      <c r="G23" s="110" t="n"/>
      <c r="H23" s="110" t="n"/>
      <c r="I23" s="110" t="n"/>
      <c r="J23" s="110" t="n"/>
      <c r="K23" s="103" t="n"/>
      <c r="L23" s="103" t="n"/>
      <c r="M23" s="103" t="n"/>
      <c r="N23" s="103" t="n"/>
      <c r="O23" s="103" t="n"/>
      <c r="P23" s="103" t="n"/>
      <c r="Q23" s="103" t="n"/>
      <c r="R23" s="103" t="n"/>
      <c r="S23" s="103" t="n"/>
    </row>
    <row r="24">
      <c r="A24" s="103" t="n"/>
      <c r="B24" s="103" t="n"/>
      <c r="C24" s="119" t="inlineStr">
        <is>
          <t>ENQUADRAMENTO / ITBI</t>
        </is>
      </c>
      <c r="E24" s="119" t="inlineStr">
        <is>
          <t>ENTRADA PARCELADA (CONSTRUTORA)</t>
        </is>
      </c>
      <c r="G24" s="119" t="inlineStr">
        <is>
          <t>EVOLUÇÃO DE OBRA (MÉDIA)</t>
        </is>
      </c>
      <c r="I24" s="119" t="inlineStr">
        <is>
          <t>PRESTAÇÃO MENSAL (PÓS-CHAVES)</t>
        </is>
      </c>
      <c r="K24" s="103" t="n"/>
      <c r="L24" s="103" t="n"/>
      <c r="M24" s="103" t="n"/>
      <c r="N24" s="103" t="n"/>
      <c r="O24" s="103" t="n"/>
      <c r="P24" s="103" t="n"/>
      <c r="Q24" s="103" t="n"/>
      <c r="R24" s="103" t="n"/>
      <c r="S24" s="103" t="n"/>
    </row>
    <row r="25">
      <c r="A25" s="103" t="n"/>
      <c r="B25" s="103" t="n"/>
      <c r="C25" s="120">
        <f>'Fluxo Detalhado'!D33</f>
        <v/>
      </c>
      <c r="E25" s="121">
        <f>'Fluxo Detalhado'!D31</f>
        <v/>
      </c>
      <c r="G25" s="122" t="inlineStr"/>
      <c r="I25" s="123">
        <f>'Fluxo Detalhado'!D30</f>
        <v/>
      </c>
      <c r="K25" s="103" t="n"/>
      <c r="L25" s="103" t="n"/>
      <c r="M25" s="103" t="n"/>
      <c r="N25" s="103" t="n"/>
      <c r="O25" s="103" t="n"/>
      <c r="P25" s="103" t="n"/>
      <c r="Q25" s="103" t="n"/>
      <c r="R25" s="103" t="n"/>
      <c r="S25" s="103" t="n"/>
    </row>
    <row r="26">
      <c r="A26" s="103" t="n"/>
      <c r="B26" s="103" t="n"/>
      <c r="K26" s="103" t="n"/>
      <c r="L26" s="103" t="n"/>
      <c r="M26" s="103" t="n"/>
      <c r="N26" s="103" t="n"/>
      <c r="O26" s="103" t="n"/>
      <c r="P26" s="103" t="n"/>
      <c r="Q26" s="103" t="n"/>
      <c r="R26" s="103" t="n"/>
      <c r="S26" s="103" t="n"/>
    </row>
    <row r="27">
      <c r="A27" s="103" t="n"/>
      <c r="B27" s="103" t="n"/>
      <c r="C27" s="124">
        <f>"ITBI " &amp; 'Fluxo Detalhado'!D36</f>
        <v/>
      </c>
      <c r="E27" s="125" t="inlineStr">
        <is>
          <t>Período: 36 meses</t>
        </is>
      </c>
      <c r="G27" s="125" t="inlineStr">
        <is>
          <t>Conforme a obra avança</t>
        </is>
      </c>
      <c r="I27" s="125" t="inlineStr">
        <is>
          <t>Financiamento definitivo</t>
        </is>
      </c>
      <c r="K27" s="103" t="n"/>
      <c r="L27" s="103" t="n"/>
      <c r="M27" s="103" t="n"/>
      <c r="N27" s="103" t="n"/>
      <c r="O27" s="103" t="n"/>
      <c r="P27" s="103" t="n"/>
      <c r="Q27" s="103" t="n"/>
      <c r="R27" s="103" t="n"/>
      <c r="S27" s="103" t="n"/>
    </row>
    <row r="28">
      <c r="A28" s="103" t="n"/>
      <c r="B28" s="103" t="n"/>
      <c r="C28" s="110" t="n"/>
      <c r="D28" s="110" t="n"/>
      <c r="E28" s="110" t="n"/>
      <c r="F28" s="110" t="n"/>
      <c r="G28" s="110" t="n"/>
      <c r="H28" s="110" t="n"/>
      <c r="I28" s="110" t="n"/>
      <c r="J28" s="110" t="n"/>
      <c r="K28" s="103" t="n"/>
      <c r="L28" s="103" t="n"/>
      <c r="M28" s="103" t="n"/>
      <c r="N28" s="103" t="n"/>
      <c r="O28" s="103" t="n"/>
      <c r="P28" s="103" t="n"/>
      <c r="Q28" s="103" t="n"/>
      <c r="R28" s="103" t="n"/>
      <c r="S28" s="103" t="n"/>
    </row>
    <row r="29">
      <c r="A29" s="103" t="n"/>
      <c r="B29" s="103" t="n"/>
      <c r="C29" s="103" t="n"/>
      <c r="D29" s="103" t="n"/>
      <c r="E29" s="103" t="n"/>
      <c r="F29" s="103" t="n"/>
      <c r="G29" s="103" t="n"/>
      <c r="H29" s="103" t="n"/>
      <c r="I29" s="103" t="n"/>
      <c r="J29" s="103" t="n"/>
      <c r="K29" s="103" t="n"/>
      <c r="L29" s="103" t="n"/>
      <c r="M29" s="103" t="n"/>
      <c r="N29" s="103" t="n"/>
      <c r="O29" s="103" t="n"/>
      <c r="P29" s="103" t="n"/>
      <c r="Q29" s="103" t="n"/>
      <c r="R29" s="103" t="n"/>
      <c r="S29" s="103" t="n"/>
    </row>
    <row r="30">
      <c r="A30" s="103" t="n"/>
      <c r="B30" s="103" t="n"/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03" t="n"/>
      <c r="L30" s="103" t="n"/>
      <c r="M30" s="103" t="n"/>
      <c r="N30" s="103" t="n"/>
      <c r="O30" s="103" t="n"/>
      <c r="P30" s="103" t="n"/>
      <c r="Q30" s="103" t="n"/>
      <c r="R30" s="103" t="n"/>
      <c r="S30" s="103" t="n"/>
    </row>
    <row r="31">
      <c r="A31" s="103" t="n"/>
      <c r="B31" s="103" t="n"/>
      <c r="C31" s="110" t="n"/>
      <c r="D31" s="126" t="inlineStr">
        <is>
          <t>📈 AUMENTO DE PATRIMÔNIO (PROJEÇÃO NA CHAVE)</t>
        </is>
      </c>
      <c r="J31" s="110" t="n"/>
      <c r="K31" s="103" t="n"/>
      <c r="L31" s="103" t="n"/>
      <c r="M31" s="103" t="n"/>
      <c r="N31" s="103" t="n"/>
      <c r="O31" s="103" t="n"/>
      <c r="P31" s="103" t="n"/>
      <c r="Q31" s="103" t="n"/>
      <c r="R31" s="103" t="n"/>
      <c r="S31" s="103" t="n"/>
    </row>
    <row r="32">
      <c r="A32" s="103" t="n"/>
      <c r="B32" s="103" t="n"/>
      <c r="C32" s="127" t="inlineStr"/>
      <c r="K32" s="103" t="n"/>
      <c r="L32" s="103" t="n"/>
      <c r="M32" s="103" t="n"/>
      <c r="N32" s="103" t="n"/>
      <c r="O32" s="103" t="n"/>
      <c r="P32" s="103" t="n"/>
      <c r="Q32" s="103" t="n"/>
      <c r="R32" s="103" t="n"/>
      <c r="S32" s="103" t="n"/>
    </row>
    <row r="33">
      <c r="A33" s="103" t="n"/>
      <c r="B33" s="103" t="n"/>
      <c r="C33" s="128" t="inlineStr">
        <is>
          <t>VALOR DO IMÓVEL (HOJE)</t>
        </is>
      </c>
      <c r="G33" s="128" t="inlineStr">
        <is>
          <t>VALOR NA ENTREGA (MÉDIA +30%)</t>
        </is>
      </c>
      <c r="K33" s="103" t="n"/>
      <c r="L33" s="103" t="n"/>
      <c r="M33" s="103" t="n"/>
      <c r="N33" s="103" t="n"/>
      <c r="O33" s="103" t="n"/>
      <c r="P33" s="103" t="n"/>
      <c r="Q33" s="103" t="n"/>
      <c r="R33" s="103" t="n"/>
      <c r="S33" s="103" t="n"/>
    </row>
    <row r="34">
      <c r="A34" s="103" t="n"/>
      <c r="B34" s="103" t="n"/>
      <c r="C34" s="129" t="inlineStr"/>
      <c r="G34" s="130">
        <f>'Dossiê de Crédito'!C34 * 1.30</f>
        <v/>
      </c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</row>
    <row r="35">
      <c r="A35" s="103" t="n"/>
      <c r="B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</row>
    <row r="36">
      <c r="A36" s="103" t="n"/>
      <c r="B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</row>
    <row r="37">
      <c r="A37" s="103" t="n"/>
      <c r="B37" s="103" t="n"/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03" t="n"/>
      <c r="L37" s="103" t="n"/>
      <c r="M37" s="103" t="n"/>
      <c r="N37" s="103" t="n"/>
      <c r="O37" s="103" t="n"/>
      <c r="P37" s="103" t="n"/>
      <c r="Q37" s="103" t="n"/>
      <c r="R37" s="103" t="n"/>
      <c r="S37" s="103" t="n"/>
    </row>
    <row r="38">
      <c r="A38" s="103" t="n"/>
      <c r="B38" s="103" t="n"/>
      <c r="C38" s="110" t="n"/>
      <c r="D38" s="110" t="n"/>
      <c r="E38" s="110" t="n"/>
      <c r="F38" s="110" t="n"/>
      <c r="G38" s="110" t="n"/>
      <c r="H38" s="110" t="n"/>
      <c r="I38" s="110" t="n"/>
      <c r="J38" s="110" t="n"/>
      <c r="K38" s="103" t="n"/>
      <c r="L38" s="103" t="n"/>
      <c r="M38" s="103" t="n"/>
      <c r="N38" s="103" t="n"/>
      <c r="O38" s="103" t="n"/>
      <c r="P38" s="103" t="n"/>
      <c r="Q38" s="103" t="n"/>
      <c r="R38" s="103" t="n"/>
      <c r="S38" s="103" t="n"/>
    </row>
    <row r="39">
      <c r="A39" s="103" t="n"/>
      <c r="B39" s="103" t="n"/>
      <c r="C39" s="103" t="n"/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</row>
    <row r="40">
      <c r="A40" s="103" t="n"/>
      <c r="B40" s="103" t="n"/>
      <c r="C40" s="131" t="inlineStr">
        <is>
          <t>🛡️ A BLINDAGEM 360° MT PARCEIROS</t>
        </is>
      </c>
      <c r="K40" s="103" t="n"/>
      <c r="L40" s="103" t="n"/>
      <c r="M40" s="103" t="n"/>
      <c r="N40" s="103" t="n"/>
      <c r="O40" s="103" t="n"/>
      <c r="P40" s="103" t="n"/>
      <c r="Q40" s="103" t="n"/>
      <c r="R40" s="103" t="n"/>
      <c r="S40" s="103" t="n"/>
    </row>
    <row r="41">
      <c r="A41" s="103" t="n"/>
      <c r="B41" s="103" t="n"/>
      <c r="C41" s="103" t="n"/>
      <c r="D41" s="103" t="n"/>
      <c r="E41" s="103" t="n"/>
      <c r="F41" s="103" t="n"/>
      <c r="G41" s="103" t="n"/>
      <c r="H41" s="103" t="n"/>
      <c r="I41" s="103" t="n"/>
      <c r="J41" s="103" t="n"/>
      <c r="K41" s="103" t="n"/>
      <c r="L41" s="103" t="n"/>
      <c r="M41" s="103" t="n"/>
      <c r="N41" s="103" t="n"/>
      <c r="O41" s="103" t="n"/>
      <c r="P41" s="103" t="n"/>
      <c r="Q41" s="103" t="n"/>
      <c r="R41" s="103" t="n"/>
      <c r="S41" s="103" t="n"/>
    </row>
    <row r="42">
      <c r="A42" s="103" t="n"/>
      <c r="B42" s="103" t="n"/>
      <c r="C42" s="132" t="inlineStr">
        <is>
          <t>🏦 1. APROVAÇÃO BANCÁRIA
Todo limite é analisado via API direto antes da emissão do contrato.</t>
        </is>
      </c>
      <c r="D42" s="107" t="n"/>
      <c r="E42" s="132" t="inlineStr">
        <is>
          <t>⚖️ 2. ANÁLISE JURÍDICA
Nossos advogados validam a idoneidade e cláusulas perigosas.</t>
        </is>
      </c>
      <c r="F42" s="107" t="n"/>
      <c r="G42" s="132" t="inlineStr">
        <is>
          <t>🏗️ 3. ACOMPANHAMENTO
Não abandonamos você. Nossa equipe acompanha as medições de obra.</t>
        </is>
      </c>
      <c r="H42" s="107" t="n"/>
      <c r="I42" s="132" t="inlineStr">
        <is>
          <t>👷 4. LAUDO DE ENGENHARIA
Selo MT: O fechamento garante que nossa engenheira fará sua Vistoria Final.</t>
        </is>
      </c>
      <c r="J42" s="107" t="n"/>
      <c r="K42" s="103" t="n"/>
      <c r="L42" s="103" t="n"/>
      <c r="M42" s="103" t="n"/>
      <c r="N42" s="103" t="n"/>
      <c r="O42" s="103" t="n"/>
      <c r="P42" s="103" t="n"/>
      <c r="Q42" s="103" t="n"/>
      <c r="R42" s="103" t="n"/>
      <c r="S42" s="103" t="n"/>
    </row>
    <row r="43">
      <c r="A43" s="103" t="n"/>
      <c r="B43" s="103" t="n"/>
      <c r="C43" s="107" t="n"/>
      <c r="D43" s="107" t="n"/>
      <c r="E43" s="107" t="n"/>
      <c r="F43" s="107" t="n"/>
      <c r="G43" s="107" t="n"/>
      <c r="H43" s="107" t="n"/>
      <c r="I43" s="107" t="n"/>
      <c r="J43" s="107" t="n"/>
      <c r="K43" s="103" t="n"/>
      <c r="L43" s="103" t="n"/>
      <c r="M43" s="103" t="n"/>
      <c r="N43" s="103" t="n"/>
      <c r="O43" s="103" t="n"/>
      <c r="P43" s="103" t="n"/>
      <c r="Q43" s="103" t="n"/>
      <c r="R43" s="103" t="n"/>
      <c r="S43" s="103" t="n"/>
    </row>
    <row r="44">
      <c r="A44" s="103" t="n"/>
      <c r="B44" s="103" t="n"/>
      <c r="C44" s="107" t="n"/>
      <c r="D44" s="107" t="n"/>
      <c r="E44" s="107" t="n"/>
      <c r="F44" s="107" t="n"/>
      <c r="G44" s="107" t="n"/>
      <c r="H44" s="107" t="n"/>
      <c r="I44" s="107" t="n"/>
      <c r="J44" s="107" t="n"/>
      <c r="K44" s="103" t="n"/>
      <c r="L44" s="103" t="n"/>
      <c r="M44" s="103" t="n"/>
      <c r="N44" s="103" t="n"/>
      <c r="O44" s="103" t="n"/>
      <c r="P44" s="103" t="n"/>
      <c r="Q44" s="103" t="n"/>
      <c r="R44" s="103" t="n"/>
      <c r="S44" s="103" t="n"/>
    </row>
    <row r="45">
      <c r="A45" s="103" t="n"/>
      <c r="B45" s="103" t="n"/>
      <c r="C45" s="107" t="n"/>
      <c r="D45" s="107" t="n"/>
      <c r="E45" s="107" t="n"/>
      <c r="F45" s="107" t="n"/>
      <c r="G45" s="107" t="n"/>
      <c r="H45" s="107" t="n"/>
      <c r="I45" s="107" t="n"/>
      <c r="J45" s="107" t="n"/>
      <c r="K45" s="103" t="n"/>
      <c r="L45" s="103" t="n"/>
      <c r="M45" s="103" t="n"/>
      <c r="N45" s="103" t="n"/>
      <c r="O45" s="103" t="n"/>
      <c r="P45" s="103" t="n"/>
      <c r="Q45" s="103" t="n"/>
      <c r="R45" s="103" t="n"/>
      <c r="S45" s="103" t="n"/>
    </row>
    <row r="46">
      <c r="A46" s="103" t="n"/>
      <c r="B46" s="103" t="n"/>
      <c r="C46" s="107" t="n"/>
      <c r="D46" s="107" t="n"/>
      <c r="E46" s="107" t="n"/>
      <c r="F46" s="107" t="n"/>
      <c r="G46" s="107" t="n"/>
      <c r="H46" s="107" t="n"/>
      <c r="I46" s="107" t="n"/>
      <c r="J46" s="107" t="n"/>
      <c r="K46" s="103" t="n"/>
      <c r="L46" s="103" t="n"/>
      <c r="M46" s="103" t="n"/>
      <c r="N46" s="103" t="n"/>
      <c r="O46" s="103" t="n"/>
      <c r="P46" s="103" t="n"/>
      <c r="Q46" s="103" t="n"/>
      <c r="R46" s="103" t="n"/>
      <c r="S46" s="103" t="n"/>
    </row>
    <row r="47">
      <c r="A47" s="103" t="n"/>
      <c r="B47" s="103" t="n"/>
      <c r="C47" s="103" t="n"/>
      <c r="D47" s="103" t="n"/>
      <c r="E47" s="103" t="n"/>
      <c r="F47" s="103" t="n"/>
      <c r="G47" s="103" t="n"/>
      <c r="H47" s="103" t="n"/>
      <c r="I47" s="103" t="n"/>
      <c r="J47" s="103" t="n"/>
      <c r="K47" s="103" t="n"/>
      <c r="L47" s="103" t="n"/>
      <c r="M47" s="103" t="n"/>
      <c r="N47" s="103" t="n"/>
      <c r="O47" s="103" t="n"/>
      <c r="P47" s="103" t="n"/>
      <c r="Q47" s="103" t="n"/>
      <c r="R47" s="103" t="n"/>
      <c r="S47" s="103" t="n"/>
    </row>
    <row r="48">
      <c r="A48" s="103" t="n"/>
      <c r="B48" s="103" t="n"/>
      <c r="C48" s="103" t="n"/>
      <c r="D48" s="103" t="n"/>
      <c r="E48" s="103" t="n"/>
      <c r="F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</row>
    <row r="49">
      <c r="A49" s="103" t="n"/>
      <c r="B49" s="103" t="n"/>
      <c r="C49" s="133" t="inlineStr">
        <is>
          <t>ESTE DOSSIÊ É ESTRITAMENTE CONFIDENCIAL E TEM FINS DE PLANEJAMENTO.</t>
        </is>
      </c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</row>
    <row r="50">
      <c r="A50" s="103" t="n"/>
      <c r="B50" s="103" t="n"/>
      <c r="C50" s="103" t="n"/>
      <c r="D50" s="103" t="n"/>
      <c r="E50" s="103" t="n"/>
      <c r="F50" s="103" t="n"/>
      <c r="G50" s="103" t="n"/>
      <c r="H50" s="103" t="n"/>
      <c r="I50" s="103" t="n"/>
      <c r="J50" s="103" t="n"/>
      <c r="K50" s="103" t="n"/>
      <c r="L50" s="103" t="n"/>
      <c r="M50" s="103" t="n"/>
      <c r="N50" s="103" t="n"/>
      <c r="O50" s="103" t="n"/>
      <c r="P50" s="103" t="n"/>
      <c r="Q50" s="103" t="n"/>
      <c r="R50" s="103" t="n"/>
      <c r="S50" s="103" t="n"/>
    </row>
    <row r="51">
      <c r="A51" s="103" t="n"/>
      <c r="B51" s="103" t="n"/>
      <c r="C51" s="103" t="n"/>
      <c r="D51" s="103" t="n"/>
      <c r="E51" s="103" t="n"/>
      <c r="F51" s="103" t="n"/>
      <c r="G51" s="103" t="n"/>
      <c r="H51" s="103" t="n"/>
      <c r="I51" s="103" t="n"/>
      <c r="J51" s="103" t="n"/>
      <c r="K51" s="103" t="n"/>
      <c r="L51" s="103" t="n"/>
      <c r="M51" s="103" t="n"/>
      <c r="N51" s="103" t="n"/>
      <c r="O51" s="103" t="n"/>
      <c r="P51" s="103" t="n"/>
      <c r="Q51" s="103" t="n"/>
      <c r="R51" s="103" t="n"/>
      <c r="S51" s="103" t="n"/>
    </row>
    <row r="52">
      <c r="A52" s="103" t="n"/>
      <c r="B52" s="103" t="n"/>
      <c r="C52" s="103" t="n"/>
      <c r="D52" s="103" t="n"/>
      <c r="E52" s="103" t="n"/>
      <c r="F52" s="103" t="n"/>
      <c r="G52" s="103" t="n"/>
      <c r="H52" s="103" t="n"/>
      <c r="I52" s="103" t="n"/>
      <c r="J52" s="103" t="n"/>
      <c r="K52" s="103" t="n"/>
      <c r="L52" s="103" t="n"/>
      <c r="M52" s="103" t="n"/>
      <c r="N52" s="103" t="n"/>
      <c r="O52" s="103" t="n"/>
      <c r="P52" s="103" t="n"/>
      <c r="Q52" s="103" t="n"/>
      <c r="R52" s="103" t="n"/>
      <c r="S52" s="103" t="n"/>
    </row>
    <row r="53">
      <c r="A53" s="103" t="n"/>
      <c r="B53" s="103" t="n"/>
      <c r="C53" s="103" t="n"/>
      <c r="D53" s="103" t="n"/>
      <c r="E53" s="103" t="n"/>
      <c r="F53" s="103" t="n"/>
      <c r="G53" s="103" t="n"/>
      <c r="H53" s="103" t="n"/>
      <c r="I53" s="103" t="n"/>
      <c r="J53" s="103" t="n"/>
      <c r="K53" s="103" t="n"/>
      <c r="L53" s="103" t="n"/>
      <c r="M53" s="103" t="n"/>
      <c r="N53" s="103" t="n"/>
      <c r="O53" s="103" t="n"/>
      <c r="P53" s="103" t="n"/>
      <c r="Q53" s="103" t="n"/>
      <c r="R53" s="103" t="n"/>
      <c r="S53" s="103" t="n"/>
    </row>
    <row r="54">
      <c r="A54" s="103" t="n"/>
      <c r="B54" s="103" t="n"/>
      <c r="C54" s="103" t="n"/>
      <c r="D54" s="103" t="n"/>
      <c r="E54" s="103" t="n"/>
      <c r="F54" s="103" t="n"/>
      <c r="G54" s="103" t="n"/>
      <c r="H54" s="103" t="n"/>
      <c r="I54" s="103" t="n"/>
      <c r="J54" s="103" t="n"/>
      <c r="K54" s="103" t="n"/>
      <c r="L54" s="103" t="n"/>
      <c r="M54" s="103" t="n"/>
      <c r="N54" s="103" t="n"/>
      <c r="O54" s="103" t="n"/>
      <c r="P54" s="103" t="n"/>
      <c r="Q54" s="103" t="n"/>
      <c r="R54" s="103" t="n"/>
      <c r="S54" s="103" t="n"/>
    </row>
    <row r="55">
      <c r="A55" s="103" t="n"/>
      <c r="B55" s="103" t="n"/>
      <c r="C55" s="103" t="n"/>
      <c r="D55" s="103" t="n"/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103" t="n"/>
      <c r="N55" s="103" t="n"/>
      <c r="O55" s="103" t="n"/>
      <c r="P55" s="103" t="n"/>
      <c r="Q55" s="103" t="n"/>
      <c r="R55" s="103" t="n"/>
      <c r="S55" s="103" t="n"/>
    </row>
    <row r="56">
      <c r="A56" s="103" t="n"/>
      <c r="B56" s="103" t="n"/>
      <c r="C56" s="103" t="n"/>
      <c r="D56" s="103" t="n"/>
      <c r="E56" s="103" t="n"/>
      <c r="F56" s="103" t="n"/>
      <c r="G56" s="103" t="n"/>
      <c r="H56" s="103" t="n"/>
      <c r="I56" s="103" t="n"/>
      <c r="J56" s="103" t="n"/>
      <c r="K56" s="103" t="n"/>
      <c r="L56" s="103" t="n"/>
      <c r="M56" s="103" t="n"/>
      <c r="N56" s="103" t="n"/>
      <c r="O56" s="103" t="n"/>
      <c r="P56" s="103" t="n"/>
      <c r="Q56" s="103" t="n"/>
      <c r="R56" s="103" t="n"/>
      <c r="S56" s="103" t="n"/>
    </row>
    <row r="57">
      <c r="A57" s="103" t="n"/>
      <c r="B57" s="103" t="n"/>
      <c r="C57" s="103" t="n"/>
      <c r="D57" s="103" t="n"/>
      <c r="E57" s="103" t="n"/>
      <c r="F57" s="103" t="n"/>
      <c r="G57" s="103" t="n"/>
      <c r="H57" s="103" t="n"/>
      <c r="I57" s="103" t="n"/>
      <c r="J57" s="103" t="n"/>
      <c r="K57" s="103" t="n"/>
      <c r="L57" s="103" t="n"/>
      <c r="M57" s="103" t="n"/>
      <c r="N57" s="103" t="n"/>
      <c r="O57" s="103" t="n"/>
      <c r="P57" s="103" t="n"/>
      <c r="Q57" s="103" t="n"/>
      <c r="R57" s="103" t="n"/>
      <c r="S57" s="103" t="n"/>
    </row>
    <row r="58">
      <c r="A58" s="103" t="n"/>
      <c r="B58" s="103" t="n"/>
      <c r="C58" s="103" t="n"/>
      <c r="D58" s="103" t="n"/>
      <c r="E58" s="103" t="n"/>
      <c r="F58" s="103" t="n"/>
      <c r="G58" s="103" t="n"/>
      <c r="H58" s="103" t="n"/>
      <c r="I58" s="103" t="n"/>
      <c r="J58" s="103" t="n"/>
      <c r="K58" s="103" t="n"/>
      <c r="L58" s="103" t="n"/>
      <c r="M58" s="103" t="n"/>
      <c r="N58" s="103" t="n"/>
      <c r="O58" s="103" t="n"/>
      <c r="P58" s="103" t="n"/>
      <c r="Q58" s="103" t="n"/>
      <c r="R58" s="103" t="n"/>
      <c r="S58" s="103" t="n"/>
    </row>
    <row r="59">
      <c r="A59" s="103" t="n"/>
      <c r="B59" s="103" t="n"/>
      <c r="C59" s="103" t="n"/>
      <c r="D59" s="103" t="n"/>
      <c r="E59" s="103" t="n"/>
      <c r="F59" s="103" t="n"/>
      <c r="G59" s="103" t="n"/>
      <c r="H59" s="103" t="n"/>
      <c r="I59" s="103" t="n"/>
      <c r="J59" s="103" t="n"/>
      <c r="K59" s="103" t="n"/>
      <c r="L59" s="103" t="n"/>
      <c r="M59" s="103" t="n"/>
      <c r="N59" s="103" t="n"/>
      <c r="O59" s="103" t="n"/>
      <c r="P59" s="103" t="n"/>
      <c r="Q59" s="103" t="n"/>
      <c r="R59" s="103" t="n"/>
      <c r="S59" s="103" t="n"/>
    </row>
    <row r="60">
      <c r="A60" s="103" t="n"/>
      <c r="B60" s="103" t="n"/>
      <c r="C60" s="103" t="n"/>
      <c r="D60" s="103" t="n"/>
      <c r="E60" s="103" t="n"/>
      <c r="F60" s="103" t="n"/>
      <c r="G60" s="103" t="n"/>
      <c r="H60" s="103" t="n"/>
      <c r="I60" s="103" t="n"/>
      <c r="J60" s="103" t="n"/>
      <c r="K60" s="103" t="n"/>
      <c r="L60" s="103" t="n"/>
      <c r="M60" s="103" t="n"/>
      <c r="N60" s="103" t="n"/>
      <c r="O60" s="103" t="n"/>
      <c r="P60" s="103" t="n"/>
      <c r="Q60" s="103" t="n"/>
      <c r="R60" s="103" t="n"/>
      <c r="S60" s="103" t="n"/>
    </row>
    <row r="61">
      <c r="A61" s="103" t="n"/>
      <c r="B61" s="103" t="n"/>
      <c r="C61" s="103" t="n"/>
      <c r="D61" s="103" t="n"/>
      <c r="E61" s="103" t="n"/>
      <c r="F61" s="103" t="n"/>
      <c r="G61" s="103" t="n"/>
      <c r="H61" s="103" t="n"/>
      <c r="I61" s="103" t="n"/>
      <c r="J61" s="103" t="n"/>
      <c r="K61" s="103" t="n"/>
      <c r="L61" s="103" t="n"/>
      <c r="M61" s="103" t="n"/>
      <c r="N61" s="103" t="n"/>
      <c r="O61" s="103" t="n"/>
      <c r="P61" s="103" t="n"/>
      <c r="Q61" s="103" t="n"/>
      <c r="R61" s="103" t="n"/>
      <c r="S61" s="103" t="n"/>
    </row>
    <row r="62">
      <c r="A62" s="103" t="n"/>
      <c r="B62" s="103" t="n"/>
      <c r="C62" s="103" t="n"/>
      <c r="D62" s="103" t="n"/>
      <c r="E62" s="103" t="n"/>
      <c r="F62" s="103" t="n"/>
      <c r="G62" s="103" t="n"/>
      <c r="H62" s="103" t="n"/>
      <c r="I62" s="103" t="n"/>
      <c r="J62" s="103" t="n"/>
      <c r="K62" s="103" t="n"/>
      <c r="L62" s="103" t="n"/>
      <c r="M62" s="103" t="n"/>
      <c r="N62" s="103" t="n"/>
      <c r="O62" s="103" t="n"/>
      <c r="P62" s="103" t="n"/>
      <c r="Q62" s="103" t="n"/>
      <c r="R62" s="103" t="n"/>
      <c r="S62" s="103" t="n"/>
    </row>
    <row r="63">
      <c r="A63" s="103" t="n"/>
      <c r="B63" s="103" t="n"/>
      <c r="C63" s="103" t="n"/>
      <c r="D63" s="103" t="n"/>
      <c r="E63" s="103" t="n"/>
      <c r="F63" s="103" t="n"/>
      <c r="G63" s="103" t="n"/>
      <c r="H63" s="103" t="n"/>
      <c r="I63" s="103" t="n"/>
      <c r="J63" s="103" t="n"/>
      <c r="K63" s="103" t="n"/>
      <c r="L63" s="103" t="n"/>
      <c r="M63" s="103" t="n"/>
      <c r="N63" s="103" t="n"/>
      <c r="O63" s="103" t="n"/>
      <c r="P63" s="103" t="n"/>
      <c r="Q63" s="103" t="n"/>
      <c r="R63" s="103" t="n"/>
      <c r="S63" s="103" t="n"/>
    </row>
    <row r="64">
      <c r="A64" s="103" t="n"/>
      <c r="B64" s="103" t="n"/>
      <c r="C64" s="103" t="n"/>
      <c r="D64" s="103" t="n"/>
      <c r="E64" s="103" t="n"/>
      <c r="F64" s="103" t="n"/>
      <c r="G64" s="103" t="n"/>
      <c r="H64" s="103" t="n"/>
      <c r="I64" s="103" t="n"/>
      <c r="J64" s="103" t="n"/>
      <c r="K64" s="103" t="n"/>
      <c r="L64" s="103" t="n"/>
      <c r="M64" s="103" t="n"/>
      <c r="N64" s="103" t="n"/>
      <c r="O64" s="103" t="n"/>
      <c r="P64" s="103" t="n"/>
      <c r="Q64" s="103" t="n"/>
      <c r="R64" s="103" t="n"/>
      <c r="S64" s="103" t="n"/>
    </row>
    <row r="65">
      <c r="A65" s="103" t="n"/>
      <c r="B65" s="103" t="n"/>
      <c r="C65" s="103" t="n"/>
      <c r="D65" s="103" t="n"/>
      <c r="E65" s="103" t="n"/>
      <c r="F65" s="103" t="n"/>
      <c r="G65" s="103" t="n"/>
      <c r="H65" s="103" t="n"/>
      <c r="I65" s="103" t="n"/>
      <c r="J65" s="103" t="n"/>
      <c r="K65" s="103" t="n"/>
      <c r="L65" s="103" t="n"/>
      <c r="M65" s="103" t="n"/>
      <c r="N65" s="103" t="n"/>
      <c r="O65" s="103" t="n"/>
      <c r="P65" s="103" t="n"/>
      <c r="Q65" s="103" t="n"/>
      <c r="R65" s="103" t="n"/>
      <c r="S65" s="103" t="n"/>
    </row>
    <row r="66">
      <c r="A66" s="103" t="n"/>
      <c r="B66" s="103" t="n"/>
      <c r="C66" s="103" t="n"/>
      <c r="D66" s="103" t="n"/>
      <c r="E66" s="103" t="n"/>
      <c r="F66" s="103" t="n"/>
      <c r="G66" s="103" t="n"/>
      <c r="H66" s="103" t="n"/>
      <c r="I66" s="103" t="n"/>
      <c r="J66" s="103" t="n"/>
      <c r="K66" s="103" t="n"/>
      <c r="L66" s="103" t="n"/>
      <c r="M66" s="103" t="n"/>
      <c r="N66" s="103" t="n"/>
      <c r="O66" s="103" t="n"/>
      <c r="P66" s="103" t="n"/>
      <c r="Q66" s="103" t="n"/>
      <c r="R66" s="103" t="n"/>
      <c r="S66" s="103" t="n"/>
    </row>
    <row r="67">
      <c r="A67" s="103" t="n"/>
      <c r="B67" s="103" t="n"/>
      <c r="C67" s="103" t="n"/>
      <c r="D67" s="103" t="n"/>
      <c r="E67" s="103" t="n"/>
      <c r="F67" s="103" t="n"/>
      <c r="G67" s="103" t="n"/>
      <c r="H67" s="103" t="n"/>
      <c r="I67" s="103" t="n"/>
      <c r="J67" s="103" t="n"/>
      <c r="K67" s="103" t="n"/>
      <c r="L67" s="103" t="n"/>
      <c r="M67" s="103" t="n"/>
      <c r="N67" s="103" t="n"/>
      <c r="O67" s="103" t="n"/>
      <c r="P67" s="103" t="n"/>
      <c r="Q67" s="103" t="n"/>
      <c r="R67" s="103" t="n"/>
      <c r="S67" s="103" t="n"/>
    </row>
    <row r="68">
      <c r="A68" s="103" t="n"/>
      <c r="B68" s="103" t="n"/>
      <c r="C68" s="103" t="n"/>
      <c r="D68" s="103" t="n"/>
      <c r="E68" s="103" t="n"/>
      <c r="F68" s="103" t="n"/>
      <c r="G68" s="103" t="n"/>
      <c r="H68" s="103" t="n"/>
      <c r="I68" s="103" t="n"/>
      <c r="J68" s="103" t="n"/>
      <c r="K68" s="103" t="n"/>
      <c r="L68" s="103" t="n"/>
      <c r="M68" s="103" t="n"/>
      <c r="N68" s="103" t="n"/>
      <c r="O68" s="103" t="n"/>
      <c r="P68" s="103" t="n"/>
      <c r="Q68" s="103" t="n"/>
      <c r="R68" s="103" t="n"/>
      <c r="S68" s="103" t="n"/>
    </row>
    <row r="69">
      <c r="A69" s="103" t="n"/>
      <c r="B69" s="103" t="n"/>
      <c r="C69" s="103" t="n"/>
      <c r="D69" s="103" t="n"/>
      <c r="E69" s="103" t="n"/>
      <c r="F69" s="103" t="n"/>
      <c r="G69" s="103" t="n"/>
      <c r="H69" s="103" t="n"/>
      <c r="I69" s="103" t="n"/>
      <c r="J69" s="103" t="n"/>
      <c r="K69" s="103" t="n"/>
      <c r="L69" s="103" t="n"/>
      <c r="M69" s="103" t="n"/>
      <c r="N69" s="103" t="n"/>
      <c r="O69" s="103" t="n"/>
      <c r="P69" s="103" t="n"/>
      <c r="Q69" s="103" t="n"/>
      <c r="R69" s="103" t="n"/>
      <c r="S69" s="103" t="n"/>
    </row>
    <row r="70">
      <c r="A70" s="103" t="n"/>
      <c r="B70" s="103" t="n"/>
      <c r="C70" s="103" t="n"/>
      <c r="D70" s="103" t="n"/>
      <c r="E70" s="103" t="n"/>
      <c r="F70" s="103" t="n"/>
      <c r="G70" s="103" t="n"/>
      <c r="H70" s="103" t="n"/>
      <c r="I70" s="103" t="n"/>
      <c r="J70" s="103" t="n"/>
      <c r="K70" s="103" t="n"/>
      <c r="L70" s="103" t="n"/>
      <c r="M70" s="103" t="n"/>
      <c r="N70" s="103" t="n"/>
      <c r="O70" s="103" t="n"/>
      <c r="P70" s="103" t="n"/>
      <c r="Q70" s="103" t="n"/>
      <c r="R70" s="103" t="n"/>
      <c r="S70" s="103" t="n"/>
    </row>
    <row r="71">
      <c r="A71" s="103" t="n"/>
      <c r="B71" s="103" t="n"/>
      <c r="C71" s="103" t="n"/>
      <c r="D71" s="103" t="n"/>
      <c r="E71" s="103" t="n"/>
      <c r="F71" s="103" t="n"/>
      <c r="G71" s="103" t="n"/>
      <c r="H71" s="103" t="n"/>
      <c r="I71" s="103" t="n"/>
      <c r="J71" s="103" t="n"/>
      <c r="K71" s="103" t="n"/>
      <c r="L71" s="103" t="n"/>
      <c r="M71" s="103" t="n"/>
      <c r="N71" s="103" t="n"/>
      <c r="O71" s="103" t="n"/>
      <c r="P71" s="103" t="n"/>
      <c r="Q71" s="103" t="n"/>
      <c r="R71" s="103" t="n"/>
      <c r="S71" s="103" t="n"/>
    </row>
    <row r="72">
      <c r="A72" s="103" t="n"/>
      <c r="B72" s="103" t="n"/>
      <c r="C72" s="103" t="n"/>
      <c r="D72" s="103" t="n"/>
      <c r="E72" s="103" t="n"/>
      <c r="F72" s="103" t="n"/>
      <c r="G72" s="103" t="n"/>
      <c r="H72" s="103" t="n"/>
      <c r="I72" s="103" t="n"/>
      <c r="J72" s="103" t="n"/>
      <c r="K72" s="103" t="n"/>
      <c r="L72" s="103" t="n"/>
      <c r="M72" s="103" t="n"/>
      <c r="N72" s="103" t="n"/>
      <c r="O72" s="103" t="n"/>
      <c r="P72" s="103" t="n"/>
      <c r="Q72" s="103" t="n"/>
      <c r="R72" s="103" t="n"/>
      <c r="S72" s="103" t="n"/>
    </row>
    <row r="73">
      <c r="A73" s="103" t="n"/>
      <c r="B73" s="103" t="n"/>
      <c r="C73" s="103" t="n"/>
      <c r="D73" s="103" t="n"/>
      <c r="E73" s="103" t="n"/>
      <c r="F73" s="103" t="n"/>
      <c r="G73" s="103" t="n"/>
      <c r="H73" s="103" t="n"/>
      <c r="I73" s="103" t="n"/>
      <c r="J73" s="103" t="n"/>
      <c r="K73" s="103" t="n"/>
      <c r="L73" s="103" t="n"/>
      <c r="M73" s="103" t="n"/>
      <c r="N73" s="103" t="n"/>
      <c r="O73" s="103" t="n"/>
      <c r="P73" s="103" t="n"/>
      <c r="Q73" s="103" t="n"/>
      <c r="R73" s="103" t="n"/>
      <c r="S73" s="103" t="n"/>
    </row>
    <row r="74">
      <c r="A74" s="103" t="n"/>
      <c r="B74" s="103" t="n"/>
      <c r="C74" s="103" t="n"/>
      <c r="D74" s="103" t="n"/>
      <c r="E74" s="103" t="n"/>
      <c r="F74" s="103" t="n"/>
      <c r="G74" s="103" t="n"/>
      <c r="H74" s="103" t="n"/>
      <c r="I74" s="103" t="n"/>
      <c r="J74" s="103" t="n"/>
      <c r="K74" s="103" t="n"/>
      <c r="L74" s="103" t="n"/>
      <c r="M74" s="103" t="n"/>
      <c r="N74" s="103" t="n"/>
      <c r="O74" s="103" t="n"/>
      <c r="P74" s="103" t="n"/>
      <c r="Q74" s="103" t="n"/>
      <c r="R74" s="103" t="n"/>
      <c r="S74" s="103" t="n"/>
    </row>
    <row r="75">
      <c r="A75" s="103" t="n"/>
      <c r="B75" s="103" t="n"/>
      <c r="C75" s="103" t="n"/>
      <c r="D75" s="103" t="n"/>
      <c r="E75" s="103" t="n"/>
      <c r="F75" s="103" t="n"/>
      <c r="G75" s="103" t="n"/>
      <c r="H75" s="103" t="n"/>
      <c r="I75" s="103" t="n"/>
      <c r="J75" s="103" t="n"/>
      <c r="K75" s="103" t="n"/>
      <c r="L75" s="103" t="n"/>
      <c r="M75" s="103" t="n"/>
      <c r="N75" s="103" t="n"/>
      <c r="O75" s="103" t="n"/>
      <c r="P75" s="103" t="n"/>
      <c r="Q75" s="103" t="n"/>
      <c r="R75" s="103" t="n"/>
      <c r="S75" s="103" t="n"/>
    </row>
    <row r="76">
      <c r="A76" s="103" t="n"/>
      <c r="B76" s="103" t="n"/>
      <c r="C76" s="103" t="n"/>
      <c r="D76" s="103" t="n"/>
      <c r="E76" s="103" t="n"/>
      <c r="F76" s="103" t="n"/>
      <c r="G76" s="103" t="n"/>
      <c r="H76" s="103" t="n"/>
      <c r="I76" s="103" t="n"/>
      <c r="J76" s="103" t="n"/>
      <c r="K76" s="103" t="n"/>
      <c r="L76" s="103" t="n"/>
      <c r="M76" s="103" t="n"/>
      <c r="N76" s="103" t="n"/>
      <c r="O76" s="103" t="n"/>
      <c r="P76" s="103" t="n"/>
      <c r="Q76" s="103" t="n"/>
      <c r="R76" s="103" t="n"/>
      <c r="S76" s="103" t="n"/>
    </row>
    <row r="77">
      <c r="A77" s="103" t="n"/>
      <c r="B77" s="103" t="n"/>
      <c r="C77" s="103" t="n"/>
      <c r="D77" s="103" t="n"/>
      <c r="E77" s="103" t="n"/>
      <c r="F77" s="103" t="n"/>
      <c r="G77" s="103" t="n"/>
      <c r="H77" s="103" t="n"/>
      <c r="I77" s="103" t="n"/>
      <c r="J77" s="103" t="n"/>
      <c r="K77" s="103" t="n"/>
      <c r="L77" s="103" t="n"/>
      <c r="M77" s="103" t="n"/>
      <c r="N77" s="103" t="n"/>
      <c r="O77" s="103" t="n"/>
      <c r="P77" s="103" t="n"/>
      <c r="Q77" s="103" t="n"/>
      <c r="R77" s="103" t="n"/>
      <c r="S77" s="103" t="n"/>
    </row>
    <row r="78">
      <c r="A78" s="103" t="n"/>
      <c r="B78" s="103" t="n"/>
      <c r="C78" s="103" t="n"/>
      <c r="D78" s="103" t="n"/>
      <c r="E78" s="103" t="n"/>
      <c r="F78" s="103" t="n"/>
      <c r="G78" s="103" t="n"/>
      <c r="H78" s="103" t="n"/>
      <c r="I78" s="103" t="n"/>
      <c r="J78" s="103" t="n"/>
      <c r="K78" s="103" t="n"/>
      <c r="L78" s="103" t="n"/>
      <c r="M78" s="103" t="n"/>
      <c r="N78" s="103" t="n"/>
      <c r="O78" s="103" t="n"/>
      <c r="P78" s="103" t="n"/>
      <c r="Q78" s="103" t="n"/>
      <c r="R78" s="103" t="n"/>
      <c r="S78" s="103" t="n"/>
    </row>
    <row r="79">
      <c r="A79" s="103" t="n"/>
      <c r="B79" s="103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  <c r="N79" s="103" t="n"/>
      <c r="O79" s="103" t="n"/>
      <c r="P79" s="103" t="n"/>
      <c r="Q79" s="103" t="n"/>
      <c r="R79" s="103" t="n"/>
      <c r="S79" s="103" t="n"/>
    </row>
    <row r="80">
      <c r="A80" s="103" t="n"/>
      <c r="B80" s="103" t="n"/>
      <c r="C80" s="103" t="n"/>
      <c r="D80" s="103" t="n"/>
      <c r="E80" s="103" t="n"/>
      <c r="F80" s="103" t="n"/>
      <c r="G80" s="103" t="n"/>
      <c r="H80" s="103" t="n"/>
      <c r="I80" s="103" t="n"/>
      <c r="J80" s="103" t="n"/>
      <c r="K80" s="103" t="n"/>
      <c r="L80" s="103" t="n"/>
      <c r="M80" s="103" t="n"/>
      <c r="N80" s="103" t="n"/>
      <c r="O80" s="103" t="n"/>
      <c r="P80" s="103" t="n"/>
      <c r="Q80" s="103" t="n"/>
      <c r="R80" s="103" t="n"/>
      <c r="S80" s="103" t="n"/>
    </row>
    <row r="81">
      <c r="A81" s="103" t="n"/>
      <c r="B81" s="103" t="n"/>
      <c r="C81" s="103" t="n"/>
      <c r="D81" s="103" t="n"/>
      <c r="E81" s="103" t="n"/>
      <c r="F81" s="103" t="n"/>
      <c r="G81" s="103" t="n"/>
      <c r="H81" s="103" t="n"/>
      <c r="I81" s="103" t="n"/>
      <c r="J81" s="103" t="n"/>
      <c r="K81" s="103" t="n"/>
      <c r="L81" s="103" t="n"/>
      <c r="M81" s="103" t="n"/>
      <c r="N81" s="103" t="n"/>
      <c r="O81" s="103" t="n"/>
      <c r="P81" s="103" t="n"/>
      <c r="Q81" s="103" t="n"/>
      <c r="R81" s="103" t="n"/>
      <c r="S81" s="103" t="n"/>
    </row>
    <row r="82">
      <c r="A82" s="103" t="n"/>
      <c r="B82" s="103" t="n"/>
      <c r="C82" s="103" t="n"/>
      <c r="D82" s="103" t="n"/>
      <c r="E82" s="103" t="n"/>
      <c r="F82" s="103" t="n"/>
      <c r="G82" s="103" t="n"/>
      <c r="H82" s="103" t="n"/>
      <c r="I82" s="103" t="n"/>
      <c r="J82" s="103" t="n"/>
      <c r="K82" s="103" t="n"/>
      <c r="L82" s="103" t="n"/>
      <c r="M82" s="103" t="n"/>
      <c r="N82" s="103" t="n"/>
      <c r="O82" s="103" t="n"/>
      <c r="P82" s="103" t="n"/>
      <c r="Q82" s="103" t="n"/>
      <c r="R82" s="103" t="n"/>
      <c r="S82" s="103" t="n"/>
    </row>
    <row r="83">
      <c r="A83" s="103" t="n"/>
      <c r="B83" s="103" t="n"/>
      <c r="C83" s="103" t="n"/>
      <c r="D83" s="103" t="n"/>
      <c r="E83" s="103" t="n"/>
      <c r="F83" s="103" t="n"/>
      <c r="G83" s="103" t="n"/>
      <c r="H83" s="103" t="n"/>
      <c r="I83" s="103" t="n"/>
      <c r="J83" s="103" t="n"/>
      <c r="K83" s="103" t="n"/>
      <c r="L83" s="103" t="n"/>
      <c r="M83" s="103" t="n"/>
      <c r="N83" s="103" t="n"/>
      <c r="O83" s="103" t="n"/>
      <c r="P83" s="103" t="n"/>
      <c r="Q83" s="103" t="n"/>
      <c r="R83" s="103" t="n"/>
      <c r="S83" s="103" t="n"/>
    </row>
    <row r="84">
      <c r="A84" s="103" t="n"/>
      <c r="B84" s="103" t="n"/>
      <c r="C84" s="103" t="n"/>
      <c r="D84" s="103" t="n"/>
      <c r="E84" s="103" t="n"/>
      <c r="F84" s="103" t="n"/>
      <c r="G84" s="103" t="n"/>
      <c r="H84" s="103" t="n"/>
      <c r="I84" s="103" t="n"/>
      <c r="J84" s="103" t="n"/>
      <c r="K84" s="103" t="n"/>
      <c r="L84" s="103" t="n"/>
      <c r="M84" s="103" t="n"/>
      <c r="N84" s="103" t="n"/>
      <c r="O84" s="103" t="n"/>
      <c r="P84" s="103" t="n"/>
      <c r="Q84" s="103" t="n"/>
      <c r="R84" s="103" t="n"/>
      <c r="S84" s="103" t="n"/>
    </row>
    <row r="85">
      <c r="A85" s="103" t="n"/>
      <c r="B85" s="103" t="n"/>
      <c r="C85" s="103" t="n"/>
      <c r="D85" s="103" t="n"/>
      <c r="E85" s="103" t="n"/>
      <c r="F85" s="103" t="n"/>
      <c r="G85" s="103" t="n"/>
      <c r="H85" s="103" t="n"/>
      <c r="I85" s="103" t="n"/>
      <c r="J85" s="103" t="n"/>
      <c r="K85" s="103" t="n"/>
      <c r="L85" s="103" t="n"/>
      <c r="M85" s="103" t="n"/>
      <c r="N85" s="103" t="n"/>
      <c r="O85" s="103" t="n"/>
      <c r="P85" s="103" t="n"/>
      <c r="Q85" s="103" t="n"/>
      <c r="R85" s="103" t="n"/>
      <c r="S85" s="103" t="n"/>
    </row>
    <row r="86">
      <c r="A86" s="103" t="n"/>
      <c r="B86" s="103" t="n"/>
      <c r="C86" s="103" t="n"/>
      <c r="D86" s="103" t="n"/>
      <c r="E86" s="103" t="n"/>
      <c r="F86" s="103" t="n"/>
      <c r="G86" s="103" t="n"/>
      <c r="H86" s="103" t="n"/>
      <c r="I86" s="103" t="n"/>
      <c r="J86" s="103" t="n"/>
      <c r="K86" s="103" t="n"/>
      <c r="L86" s="103" t="n"/>
      <c r="M86" s="103" t="n"/>
      <c r="N86" s="103" t="n"/>
      <c r="O86" s="103" t="n"/>
      <c r="P86" s="103" t="n"/>
      <c r="Q86" s="103" t="n"/>
      <c r="R86" s="103" t="n"/>
      <c r="S86" s="103" t="n"/>
    </row>
    <row r="87">
      <c r="A87" s="103" t="n"/>
      <c r="B87" s="103" t="n"/>
      <c r="C87" s="103" t="n"/>
      <c r="D87" s="103" t="n"/>
      <c r="E87" s="103" t="n"/>
      <c r="F87" s="103" t="n"/>
      <c r="G87" s="103" t="n"/>
      <c r="H87" s="103" t="n"/>
      <c r="I87" s="103" t="n"/>
      <c r="J87" s="103" t="n"/>
      <c r="K87" s="103" t="n"/>
      <c r="L87" s="103" t="n"/>
      <c r="M87" s="103" t="n"/>
      <c r="N87" s="103" t="n"/>
      <c r="O87" s="103" t="n"/>
      <c r="P87" s="103" t="n"/>
      <c r="Q87" s="103" t="n"/>
      <c r="R87" s="103" t="n"/>
      <c r="S87" s="103" t="n"/>
    </row>
    <row r="88">
      <c r="A88" s="103" t="n"/>
      <c r="B88" s="103" t="n"/>
      <c r="C88" s="103" t="n"/>
      <c r="D88" s="103" t="n"/>
      <c r="E88" s="103" t="n"/>
      <c r="F88" s="103" t="n"/>
      <c r="G88" s="103" t="n"/>
      <c r="H88" s="103" t="n"/>
      <c r="I88" s="103" t="n"/>
      <c r="J88" s="103" t="n"/>
      <c r="K88" s="103" t="n"/>
      <c r="L88" s="103" t="n"/>
      <c r="M88" s="103" t="n"/>
      <c r="N88" s="103" t="n"/>
      <c r="O88" s="103" t="n"/>
      <c r="P88" s="103" t="n"/>
      <c r="Q88" s="103" t="n"/>
      <c r="R88" s="103" t="n"/>
      <c r="S88" s="103" t="n"/>
    </row>
    <row r="89">
      <c r="A89" s="103" t="n"/>
      <c r="B89" s="103" t="n"/>
      <c r="C89" s="103" t="n"/>
      <c r="D89" s="103" t="n"/>
      <c r="E89" s="103" t="n"/>
      <c r="F89" s="103" t="n"/>
      <c r="G89" s="103" t="n"/>
      <c r="H89" s="103" t="n"/>
      <c r="I89" s="103" t="n"/>
      <c r="J89" s="103" t="n"/>
      <c r="K89" s="103" t="n"/>
      <c r="L89" s="103" t="n"/>
      <c r="M89" s="103" t="n"/>
      <c r="N89" s="103" t="n"/>
      <c r="O89" s="103" t="n"/>
      <c r="P89" s="103" t="n"/>
      <c r="Q89" s="103" t="n"/>
      <c r="R89" s="103" t="n"/>
      <c r="S89" s="103" t="n"/>
    </row>
    <row r="90">
      <c r="A90" s="103" t="n"/>
      <c r="B90" s="103" t="n"/>
      <c r="C90" s="103" t="n"/>
      <c r="D90" s="103" t="n"/>
      <c r="E90" s="103" t="n"/>
      <c r="F90" s="103" t="n"/>
      <c r="G90" s="103" t="n"/>
      <c r="H90" s="103" t="n"/>
      <c r="I90" s="103" t="n"/>
      <c r="J90" s="103" t="n"/>
      <c r="K90" s="103" t="n"/>
      <c r="L90" s="103" t="n"/>
      <c r="M90" s="103" t="n"/>
      <c r="N90" s="103" t="n"/>
      <c r="O90" s="103" t="n"/>
      <c r="P90" s="103" t="n"/>
      <c r="Q90" s="103" t="n"/>
      <c r="R90" s="103" t="n"/>
      <c r="S90" s="103" t="n"/>
    </row>
    <row r="91">
      <c r="A91" s="103" t="n"/>
      <c r="B91" s="103" t="n"/>
      <c r="C91" s="103" t="n"/>
      <c r="D91" s="103" t="n"/>
      <c r="E91" s="103" t="n"/>
      <c r="F91" s="103" t="n"/>
      <c r="G91" s="103" t="n"/>
      <c r="H91" s="103" t="n"/>
      <c r="I91" s="103" t="n"/>
      <c r="J91" s="103" t="n"/>
      <c r="K91" s="103" t="n"/>
      <c r="L91" s="103" t="n"/>
      <c r="M91" s="103" t="n"/>
      <c r="N91" s="103" t="n"/>
      <c r="O91" s="103" t="n"/>
      <c r="P91" s="103" t="n"/>
      <c r="Q91" s="103" t="n"/>
      <c r="R91" s="103" t="n"/>
      <c r="S91" s="103" t="n"/>
    </row>
    <row r="92">
      <c r="A92" s="103" t="n"/>
      <c r="B92" s="103" t="n"/>
      <c r="C92" s="103" t="n"/>
      <c r="D92" s="103" t="n"/>
      <c r="E92" s="103" t="n"/>
      <c r="F92" s="103" t="n"/>
      <c r="G92" s="103" t="n"/>
      <c r="H92" s="103" t="n"/>
      <c r="I92" s="103" t="n"/>
      <c r="J92" s="103" t="n"/>
      <c r="K92" s="103" t="n"/>
      <c r="L92" s="103" t="n"/>
      <c r="M92" s="103" t="n"/>
      <c r="N92" s="103" t="n"/>
      <c r="O92" s="103" t="n"/>
      <c r="P92" s="103" t="n"/>
      <c r="Q92" s="103" t="n"/>
      <c r="R92" s="103" t="n"/>
      <c r="S92" s="103" t="n"/>
    </row>
    <row r="93">
      <c r="A93" s="103" t="n"/>
      <c r="B93" s="103" t="n"/>
      <c r="C93" s="103" t="n"/>
      <c r="D93" s="103" t="n"/>
      <c r="E93" s="103" t="n"/>
      <c r="F93" s="103" t="n"/>
      <c r="G93" s="103" t="n"/>
      <c r="H93" s="103" t="n"/>
      <c r="I93" s="103" t="n"/>
      <c r="J93" s="103" t="n"/>
      <c r="K93" s="103" t="n"/>
      <c r="L93" s="103" t="n"/>
      <c r="M93" s="103" t="n"/>
      <c r="N93" s="103" t="n"/>
      <c r="O93" s="103" t="n"/>
      <c r="P93" s="103" t="n"/>
      <c r="Q93" s="103" t="n"/>
      <c r="R93" s="103" t="n"/>
      <c r="S93" s="103" t="n"/>
    </row>
    <row r="94">
      <c r="A94" s="103" t="n"/>
      <c r="B94" s="103" t="n"/>
      <c r="C94" s="103" t="n"/>
      <c r="D94" s="103" t="n"/>
      <c r="E94" s="103" t="n"/>
      <c r="F94" s="103" t="n"/>
      <c r="G94" s="103" t="n"/>
      <c r="H94" s="103" t="n"/>
      <c r="I94" s="103" t="n"/>
      <c r="J94" s="103" t="n"/>
      <c r="K94" s="103" t="n"/>
      <c r="L94" s="103" t="n"/>
      <c r="M94" s="103" t="n"/>
      <c r="N94" s="103" t="n"/>
      <c r="O94" s="103" t="n"/>
      <c r="P94" s="103" t="n"/>
      <c r="Q94" s="103" t="n"/>
      <c r="R94" s="103" t="n"/>
      <c r="S94" s="103" t="n"/>
    </row>
    <row r="95">
      <c r="A95" s="103" t="n"/>
      <c r="B95" s="103" t="n"/>
      <c r="C95" s="103" t="n"/>
      <c r="D95" s="103" t="n"/>
      <c r="E95" s="103" t="n"/>
      <c r="F95" s="103" t="n"/>
      <c r="G95" s="103" t="n"/>
      <c r="H95" s="103" t="n"/>
      <c r="I95" s="103" t="n"/>
      <c r="J95" s="103" t="n"/>
      <c r="K95" s="103" t="n"/>
      <c r="L95" s="103" t="n"/>
      <c r="M95" s="103" t="n"/>
      <c r="N95" s="103" t="n"/>
      <c r="O95" s="103" t="n"/>
      <c r="P95" s="103" t="n"/>
      <c r="Q95" s="103" t="n"/>
      <c r="R95" s="103" t="n"/>
      <c r="S95" s="103" t="n"/>
    </row>
    <row r="96">
      <c r="A96" s="103" t="n"/>
      <c r="B96" s="103" t="n"/>
      <c r="C96" s="103" t="n"/>
      <c r="D96" s="103" t="n"/>
      <c r="E96" s="103" t="n"/>
      <c r="F96" s="103" t="n"/>
      <c r="G96" s="103" t="n"/>
      <c r="H96" s="103" t="n"/>
      <c r="I96" s="103" t="n"/>
      <c r="J96" s="103" t="n"/>
      <c r="K96" s="103" t="n"/>
      <c r="L96" s="103" t="n"/>
      <c r="M96" s="103" t="n"/>
      <c r="N96" s="103" t="n"/>
      <c r="O96" s="103" t="n"/>
      <c r="P96" s="103" t="n"/>
      <c r="Q96" s="103" t="n"/>
      <c r="R96" s="103" t="n"/>
      <c r="S96" s="103" t="n"/>
    </row>
    <row r="97">
      <c r="A97" s="103" t="n"/>
      <c r="B97" s="103" t="n"/>
      <c r="C97" s="103" t="n"/>
      <c r="D97" s="103" t="n"/>
      <c r="E97" s="103" t="n"/>
      <c r="F97" s="103" t="n"/>
      <c r="G97" s="103" t="n"/>
      <c r="H97" s="103" t="n"/>
      <c r="I97" s="103" t="n"/>
      <c r="J97" s="103" t="n"/>
      <c r="K97" s="103" t="n"/>
      <c r="L97" s="103" t="n"/>
      <c r="M97" s="103" t="n"/>
      <c r="N97" s="103" t="n"/>
      <c r="O97" s="103" t="n"/>
      <c r="P97" s="103" t="n"/>
      <c r="Q97" s="103" t="n"/>
      <c r="R97" s="103" t="n"/>
      <c r="S97" s="103" t="n"/>
    </row>
    <row r="98">
      <c r="A98" s="103" t="n"/>
      <c r="B98" s="103" t="n"/>
      <c r="C98" s="103" t="n"/>
      <c r="D98" s="103" t="n"/>
      <c r="E98" s="103" t="n"/>
      <c r="F98" s="103" t="n"/>
      <c r="G98" s="103" t="n"/>
      <c r="H98" s="103" t="n"/>
      <c r="I98" s="103" t="n"/>
      <c r="J98" s="103" t="n"/>
      <c r="K98" s="103" t="n"/>
      <c r="L98" s="103" t="n"/>
      <c r="M98" s="103" t="n"/>
      <c r="N98" s="103" t="n"/>
      <c r="O98" s="103" t="n"/>
      <c r="P98" s="103" t="n"/>
      <c r="Q98" s="103" t="n"/>
      <c r="R98" s="103" t="n"/>
      <c r="S98" s="103" t="n"/>
    </row>
    <row r="99">
      <c r="A99" s="103" t="n"/>
      <c r="B99" s="103" t="n"/>
      <c r="C99" s="103" t="n"/>
      <c r="D99" s="103" t="n"/>
      <c r="E99" s="103" t="n"/>
      <c r="F99" s="103" t="n"/>
      <c r="G99" s="103" t="n"/>
      <c r="H99" s="103" t="n"/>
      <c r="I99" s="103" t="n"/>
      <c r="J99" s="103" t="n"/>
      <c r="K99" s="103" t="n"/>
      <c r="L99" s="103" t="n"/>
      <c r="M99" s="103" t="n"/>
      <c r="N99" s="103" t="n"/>
      <c r="O99" s="103" t="n"/>
      <c r="P99" s="103" t="n"/>
      <c r="Q99" s="103" t="n"/>
      <c r="R99" s="103" t="n"/>
      <c r="S99" s="103" t="n"/>
    </row>
  </sheetData>
  <mergeCells count="34">
    <mergeCell ref="I25:J26"/>
    <mergeCell ref="H17:I18"/>
    <mergeCell ref="C24:D24"/>
    <mergeCell ref="E24:F24"/>
    <mergeCell ref="C2:G3"/>
    <mergeCell ref="G27:H27"/>
    <mergeCell ref="I27:J27"/>
    <mergeCell ref="C4:J4"/>
    <mergeCell ref="C42:D46"/>
    <mergeCell ref="C49:J49"/>
    <mergeCell ref="E42:F46"/>
    <mergeCell ref="G25:H26"/>
    <mergeCell ref="C34:F36"/>
    <mergeCell ref="G42:H46"/>
    <mergeCell ref="C33:F33"/>
    <mergeCell ref="C22:J22"/>
    <mergeCell ref="C14:F14"/>
    <mergeCell ref="D8:I8"/>
    <mergeCell ref="E25:F26"/>
    <mergeCell ref="C40:J40"/>
    <mergeCell ref="H2:J3"/>
    <mergeCell ref="H16:I16"/>
    <mergeCell ref="G24:H24"/>
    <mergeCell ref="I24:J24"/>
    <mergeCell ref="G33:J33"/>
    <mergeCell ref="C27:D27"/>
    <mergeCell ref="E27:F27"/>
    <mergeCell ref="I42:J46"/>
    <mergeCell ref="C32:J32"/>
    <mergeCell ref="D31:I31"/>
    <mergeCell ref="D9:I10"/>
    <mergeCell ref="G34:J36"/>
    <mergeCell ref="H14:I14"/>
    <mergeCell ref="C25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O18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.51" customWidth="1" style="134" min="1" max="1"/>
    <col width="26" customWidth="1" style="134" min="2" max="2"/>
    <col width="16" customWidth="1" style="134" min="3" max="4"/>
    <col width="2" customWidth="1" style="134" min="5" max="5"/>
    <col width="24" customWidth="1" style="134" min="6" max="6"/>
    <col width="16" customWidth="1" style="134" min="7" max="7"/>
    <col width="18" customWidth="1" style="134" min="8" max="8"/>
    <col width="14" customWidth="1" style="134" min="9" max="10"/>
    <col width="2" customWidth="1" style="134" min="11" max="11"/>
  </cols>
  <sheetData>
    <row r="1" ht="4.5" customHeight="1" s="102">
      <c r="A1" s="135" t="n"/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</row>
    <row r="2" ht="30" customHeight="1" s="102">
      <c r="A2" s="136" t="inlineStr">
        <is>
          <t xml:space="preserve">  MT PARCEIROS  ·  SIMULADOR INTELIGENTE DE CRÉDITO IMOBILIÁRIO</t>
        </is>
      </c>
      <c r="F2" s="137" t="inlineStr">
        <is>
          <t>📍 mtparceiros@gmail.com  |  📞 (11) 96036-4355  |  🌐 mtparceiros-alt.github.io</t>
        </is>
      </c>
    </row>
    <row r="3" ht="18" customHeight="1" s="102">
      <c r="A3" s="138" t="n"/>
      <c r="B3" s="138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</row>
    <row r="4" ht="7.5" customHeight="1" s="102">
      <c r="A4" s="139" t="n"/>
      <c r="B4" s="139" t="n"/>
      <c r="C4" s="139" t="n"/>
      <c r="D4" s="139" t="n"/>
      <c r="E4" s="139" t="n"/>
      <c r="F4" s="139" t="n"/>
      <c r="G4" s="139" t="n"/>
      <c r="H4" s="139" t="n"/>
      <c r="I4" s="139" t="n"/>
      <c r="J4" s="139" t="n"/>
      <c r="K4" s="139" t="n"/>
    </row>
    <row r="5" ht="21.75" customHeight="1" s="102">
      <c r="A5" s="140" t="inlineStr">
        <is>
          <t xml:space="preserve">  👤  IDENTIFICAÇÃO DO CLIENTE</t>
        </is>
      </c>
    </row>
    <row r="6" ht="7.5" customHeight="1" s="102">
      <c r="A6" s="139" t="n"/>
      <c r="B6" s="139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</row>
    <row r="7" ht="21.75" customHeight="1" s="102">
      <c r="A7" s="141" t="n"/>
      <c r="B7" s="142" t="inlineStr">
        <is>
          <t>Nome do Cliente:</t>
        </is>
      </c>
      <c r="C7" s="143" t="inlineStr">
        <is>
          <t>Digite seu nome aqui...</t>
        </is>
      </c>
      <c r="F7" s="144" t="inlineStr">
        <is>
          <t>← Preencha com o nome completo do cliente</t>
        </is>
      </c>
      <c r="J7" s="141" t="n"/>
      <c r="K7" s="141" t="n"/>
    </row>
    <row r="8" ht="21.75" customHeight="1" s="102">
      <c r="A8" s="141" t="n"/>
      <c r="B8" s="145" t="inlineStr">
        <is>
          <t>Data da Simulação:</t>
        </is>
      </c>
      <c r="C8" s="146">
        <f>TODAY()</f>
        <v/>
      </c>
      <c r="D8" s="141" t="n"/>
      <c r="E8" s="141" t="n"/>
      <c r="F8" s="142" t="inlineStr">
        <is>
          <t>🏥 Saúde Financeira:</t>
        </is>
      </c>
      <c r="G8" s="142">
        <f>IF(D28="","⏳ Aguardando dados...",IF(D28&lt;=0.25,"🟢 EXCELENTE",IF(D28&lt;=0.3,"🟡 BOA","🔴 ATENÇÃO")))</f>
        <v/>
      </c>
      <c r="J8" s="141" t="n"/>
      <c r="K8" s="141" t="n"/>
    </row>
    <row r="9" ht="7.5" customHeight="1" s="102">
      <c r="A9" s="139" t="n"/>
      <c r="B9" s="139" t="n"/>
      <c r="C9" s="139" t="n"/>
      <c r="D9" s="139" t="n"/>
      <c r="E9" s="139" t="n"/>
      <c r="F9" s="139" t="n"/>
      <c r="G9" s="139" t="n"/>
      <c r="H9" s="139" t="n"/>
      <c r="I9" s="139" t="n"/>
      <c r="J9" s="139" t="n"/>
      <c r="K9" s="139" t="n"/>
    </row>
    <row r="10" ht="21.75" customHeight="1" s="102">
      <c r="A10" s="140" t="inlineStr">
        <is>
          <t xml:space="preserve">  📥  DADOS DE ENTRADA  —  Preencha os campos destacados</t>
        </is>
      </c>
    </row>
    <row r="11" ht="15.75" customHeight="1" s="102">
      <c r="A11" s="147" t="n"/>
      <c r="B11" s="148" t="inlineStr">
        <is>
          <t>1. RENDA E RECURSOS</t>
        </is>
      </c>
      <c r="C11" s="147" t="n"/>
      <c r="D11" s="147" t="n"/>
      <c r="E11" s="147" t="n"/>
      <c r="F11" s="147" t="n"/>
      <c r="G11" s="147" t="n"/>
      <c r="H11" s="147" t="n"/>
      <c r="I11" s="147" t="n"/>
      <c r="J11" s="147" t="n"/>
      <c r="K11" s="147" t="n"/>
    </row>
    <row r="12" ht="19.5" customHeight="1" s="102">
      <c r="A12" s="141" t="n"/>
      <c r="B12" s="145" t="inlineStr">
        <is>
          <t xml:space="preserve">   Renda Bruta Familiar (R$):</t>
        </is>
      </c>
      <c r="C12" s="149" t="n">
        <v>8000</v>
      </c>
      <c r="D12" s="150">
        <f>IFERROR(REPT("█",INT(MIN(20,C12/1000)),),"")</f>
        <v/>
      </c>
      <c r="E12" s="141" t="n"/>
      <c r="F12" s="144" t="inlineStr">
        <is>
          <t>← Renda total do núcleo familiar</t>
        </is>
      </c>
      <c r="K12" s="141" t="n"/>
    </row>
    <row r="13" ht="19.5" customHeight="1" s="102">
      <c r="A13" s="151" t="n"/>
      <c r="B13" s="152" t="inlineStr">
        <is>
          <t xml:space="preserve">   Entrada em Dinheiro (R$):</t>
        </is>
      </c>
      <c r="C13" s="149" t="n">
        <v>15000</v>
      </c>
      <c r="D13" s="153">
        <f>IFERROR(REPT("█",INT(MIN(20,C13/2000)),),"")</f>
        <v/>
      </c>
      <c r="E13" s="151" t="n"/>
      <c r="F13" s="154" t="inlineStr">
        <is>
          <t>← Dinheiro disponível para dar de entrada</t>
        </is>
      </c>
      <c r="K13" s="151" t="n"/>
    </row>
    <row r="14" ht="19.5" customHeight="1" s="102">
      <c r="A14" s="141" t="n"/>
      <c r="B14" s="145" t="inlineStr">
        <is>
          <t xml:space="preserve">   Saldo FGTS (R$):</t>
        </is>
      </c>
      <c r="C14" s="149" t="n">
        <v>30000</v>
      </c>
      <c r="D14" s="150">
        <f>IFERROR(REPT("█",INT(MIN(20,C14/2000)),),"")</f>
        <v/>
      </c>
      <c r="E14" s="141" t="n"/>
      <c r="F14" s="144" t="inlineStr">
        <is>
          <t>← Consulte o app FGTS ou extrato</t>
        </is>
      </c>
      <c r="K14" s="141" t="n"/>
    </row>
    <row r="15" ht="19.5" customHeight="1" s="102">
      <c r="A15" s="151" t="n"/>
      <c r="B15" s="152" t="inlineStr">
        <is>
          <t xml:space="preserve">   Carteira Assinada (3+ anos)?</t>
        </is>
      </c>
      <c r="C15" s="155" t="inlineStr">
        <is>
          <t>SIM</t>
        </is>
      </c>
      <c r="D15" s="153" t="n"/>
      <c r="E15" s="151" t="n"/>
      <c r="F15" s="154" t="inlineStr">
        <is>
          <t>← SIM = multiplica o crédito por fator 142x (vs 132x)</t>
        </is>
      </c>
      <c r="K15" s="151" t="n"/>
    </row>
    <row r="16" ht="15.75" customHeight="1" s="102">
      <c r="A16" s="147" t="n"/>
      <c r="B16" s="148" t="inlineStr">
        <is>
          <t>2. COMPROMETIMENTO MENSAL  (Despesas)</t>
        </is>
      </c>
      <c r="C16" s="147" t="n"/>
      <c r="D16" s="147" t="n"/>
      <c r="E16" s="147" t="n"/>
      <c r="F16" s="147" t="n"/>
      <c r="G16" s="147" t="n"/>
      <c r="H16" s="147" t="n"/>
      <c r="I16" s="147" t="n"/>
      <c r="J16" s="147" t="n"/>
      <c r="K16" s="147" t="n"/>
    </row>
    <row r="17" ht="19.5" customHeight="1" s="102">
      <c r="A17" s="141" t="n"/>
      <c r="B17" s="145" t="inlineStr">
        <is>
          <t xml:space="preserve">   Aluguel Atual (R$):</t>
        </is>
      </c>
      <c r="C17" s="149" t="n">
        <v>1200</v>
      </c>
      <c r="D17" s="150">
        <f>IFERROR(REPT("█",INT(MIN(20,C17/500)),),"")</f>
        <v/>
      </c>
      <c r="E17" s="141" t="n"/>
      <c r="F17" s="144" t="n"/>
      <c r="K17" s="141" t="n"/>
    </row>
    <row r="18" ht="19.5" customHeight="1" s="102">
      <c r="A18" s="151" t="n"/>
      <c r="B18" s="152" t="inlineStr">
        <is>
          <t xml:space="preserve">   Alimentação (R$):</t>
        </is>
      </c>
      <c r="C18" s="149" t="n">
        <v>800</v>
      </c>
      <c r="D18" s="153">
        <f>IFERROR(REPT("█",INT(MIN(20,C18/500)),),"")</f>
        <v/>
      </c>
      <c r="E18" s="151" t="n"/>
      <c r="F18" s="154" t="n"/>
      <c r="K18" s="151" t="n"/>
    </row>
    <row r="19" ht="19.5" customHeight="1" s="102">
      <c r="A19" s="141" t="n"/>
      <c r="B19" s="145" t="inlineStr">
        <is>
          <t xml:space="preserve">   Transporte (R$):</t>
        </is>
      </c>
      <c r="C19" s="149" t="n">
        <v>400</v>
      </c>
      <c r="D19" s="150">
        <f>IFERROR(REPT("█",INT(MIN(20,C19/500)),),"")</f>
        <v/>
      </c>
      <c r="E19" s="141" t="n"/>
      <c r="F19" s="144" t="n"/>
      <c r="K19" s="141" t="n"/>
    </row>
    <row r="20" ht="19.5" customHeight="1" s="102">
      <c r="A20" s="151" t="n"/>
      <c r="B20" s="152" t="inlineStr">
        <is>
          <t xml:space="preserve">   Outras Dívidas / Fixos (R$):</t>
        </is>
      </c>
      <c r="C20" s="149" t="n">
        <v>0</v>
      </c>
      <c r="D20" s="153">
        <f>IFERROR(REPT("█",INT(MIN(20,C20/500)),),"")</f>
        <v/>
      </c>
      <c r="E20" s="151" t="n"/>
      <c r="F20" s="154" t="n"/>
      <c r="K20" s="151" t="n"/>
    </row>
    <row r="21" ht="19.5" customHeight="1" s="102">
      <c r="A21" s="141" t="n"/>
      <c r="B21" s="145" t="inlineStr">
        <is>
          <t xml:space="preserve">   Outros (R$):</t>
        </is>
      </c>
      <c r="C21" s="149" t="n">
        <v>0</v>
      </c>
      <c r="D21" s="150">
        <f>IFERROR(REPT("█",INT(MIN(20,C21/500)),),"")</f>
        <v/>
      </c>
      <c r="E21" s="141" t="n"/>
      <c r="F21" s="144" t="n"/>
      <c r="K21" s="141" t="n"/>
    </row>
    <row r="22" ht="21.75" customHeight="1" s="102">
      <c r="A22" s="156" t="n"/>
      <c r="B22" s="157" t="inlineStr">
        <is>
          <t xml:space="preserve">   TOTAL DESPESAS MENSAIS:</t>
        </is>
      </c>
      <c r="C22" s="158">
        <f>IFERROR(SUM(C17:C21),0)</f>
        <v/>
      </c>
      <c r="D22" s="159">
        <f>IFERROR(REPT("█",INT(MIN(20,C22/500))),"")</f>
        <v/>
      </c>
      <c r="E22" s="156" t="n"/>
      <c r="F22" s="160">
        <f>IFERROR(IF(C22/C12&gt;0.3,"⚠️ Despesas superam 30% da renda — risco de reprovação","✅ Despesas dentro do limite de 30% da renda"),"")</f>
        <v/>
      </c>
      <c r="G22" s="161" t="n"/>
      <c r="H22" s="161" t="n"/>
      <c r="I22" s="161" t="n"/>
      <c r="J22" s="161" t="n"/>
      <c r="K22" s="156" t="n"/>
    </row>
    <row r="23" ht="7.5" customHeight="1" s="102">
      <c r="A23" s="139" t="n"/>
      <c r="B23" s="139" t="n"/>
      <c r="C23" s="139" t="n"/>
      <c r="D23" s="139" t="n"/>
      <c r="E23" s="139" t="n"/>
      <c r="F23" s="139" t="n"/>
      <c r="G23" s="139" t="n"/>
      <c r="H23" s="139" t="n"/>
      <c r="I23" s="139" t="n"/>
      <c r="J23" s="139" t="n"/>
      <c r="K23" s="139" t="n"/>
    </row>
    <row r="24" ht="21.75" customHeight="1" s="102">
      <c r="A24" s="140" t="inlineStr">
        <is>
          <t xml:space="preserve">  📊  ANÁLISE DO FINANCIAMENTO CAIXA  —  calculado automaticamente</t>
        </is>
      </c>
    </row>
    <row r="25" ht="15.75" customHeight="1" s="102">
      <c r="A25" s="147" t="n"/>
      <c r="B25" s="148" t="inlineStr">
        <is>
          <t>3. CÁLCULO DO CRÉDITO  (MCMV 2025 — Regras Oficiais CAIXA)</t>
        </is>
      </c>
      <c r="C25" s="147" t="n"/>
      <c r="D25" s="147" t="n"/>
      <c r="E25" s="147" t="n"/>
      <c r="F25" s="147" t="n"/>
      <c r="G25" s="147" t="n"/>
      <c r="H25" s="147" t="n"/>
      <c r="I25" s="147" t="n"/>
      <c r="J25" s="147" t="n"/>
      <c r="K25" s="147" t="n"/>
    </row>
    <row r="26" ht="19.5" customHeight="1" s="102">
      <c r="A26" s="141" t="n"/>
      <c r="B26" s="145" t="inlineStr">
        <is>
          <t xml:space="preserve">   Faixa MCMV:</t>
        </is>
      </c>
      <c r="C26" s="141" t="n"/>
      <c r="D26" s="162">
        <f>IFERROR(IF(C12&lt;=2850,"FAIXA 1 — até R$ 2.850",IF(C12&lt;=4700,"FAIXA 2 — até R$ 4.700","FAIXA 3 — até R$ 8.000")),"")</f>
        <v/>
      </c>
      <c r="F26" s="144" t="inlineStr">
        <is>
          <t>← Determinada automaticamente pela renda</t>
        </is>
      </c>
      <c r="K26" s="141" t="n"/>
    </row>
    <row r="27" ht="19.5" customHeight="1" s="102">
      <c r="A27" s="151" t="n"/>
      <c r="B27" s="152" t="inlineStr">
        <is>
          <t xml:space="preserve">   Seu Crédito CAIXA (Máximo):</t>
        </is>
      </c>
      <c r="C27" s="151" t="n"/>
      <c r="D27" s="163">
        <f>IFERROR(ROUND(MAX(0,(C12*0.3-C22)*IF(C15="SIM",142,132)),0),0)</f>
        <v/>
      </c>
      <c r="F27" s="154" t="inlineStr">
        <is>
          <t>(Renda × 30% − Despesas) × Fator de Crédito</t>
        </is>
      </c>
      <c r="K27" s="151" t="n"/>
    </row>
    <row r="28" ht="19.5" customHeight="1" s="102">
      <c r="A28" s="141" t="n"/>
      <c r="B28" s="145" t="inlineStr">
        <is>
          <t xml:space="preserve">   Comprometimento de Renda:</t>
        </is>
      </c>
      <c r="C28" s="141" t="n"/>
      <c r="D28" s="164">
        <f>IFERROR(C28/C12,0)</f>
        <v/>
      </c>
      <c r="E28" s="141" t="n"/>
      <c r="F28" s="142" t="inlineStr">
        <is>
          <t>Parcela Projetada (R$):</t>
        </is>
      </c>
      <c r="G28" s="141" t="n"/>
      <c r="H28" s="165">
        <f>IFERROR(MAX(0,(C12*0.3)-C22),0)</f>
        <v/>
      </c>
      <c r="I28" s="141" t="n"/>
      <c r="J28" s="141" t="n"/>
      <c r="K28" s="141" t="n"/>
    </row>
    <row r="29" ht="19.5" customHeight="1" s="102">
      <c r="A29" s="151" t="n"/>
      <c r="B29" s="152" t="inlineStr">
        <is>
          <t xml:space="preserve">   Subsídio Federal (MCMV):</t>
        </is>
      </c>
      <c r="C29" s="151" t="n"/>
      <c r="D29" s="166">
        <f>IFERROR(IF(C12&lt;=2850,55000,IF(C12&lt;=4700,35000,0)),0)</f>
        <v/>
      </c>
      <c r="F29" s="154">
        <f>IFERROR(IF(C12&lt;=2850,"Faixa 1: R$ 55.000",IF(C12&lt;=4700,"Faixa 2: R$ 35.000","Não se aplica nesta faixa")),"")</f>
        <v/>
      </c>
      <c r="K29" s="151" t="n"/>
    </row>
    <row r="30" ht="19.5" customHeight="1" s="102">
      <c r="A30" s="141" t="n"/>
      <c r="B30" s="145" t="inlineStr">
        <is>
          <t xml:space="preserve">   Subsídio Casa Paulista (SP):</t>
        </is>
      </c>
      <c r="C30" s="141" t="n"/>
      <c r="D30" s="167">
        <f>IFERROR(IF(C12&lt;=4863,16000,0),0)</f>
        <v/>
      </c>
      <c r="F30" s="144">
        <f>IFERROR(IF(C12&lt;=4863,"✅ R$ 16.000 — elegível","❌ Não elegível nesta faixa de renda"),"")</f>
        <v/>
      </c>
      <c r="K30" s="141" t="n"/>
    </row>
    <row r="31" ht="7.5" customHeight="1" s="102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27.75" customHeight="1" s="102">
      <c r="A32" s="147" t="n"/>
      <c r="B32" s="168" t="inlineStr">
        <is>
          <t>💰  PODER DE COMPRA TOTAL:</t>
        </is>
      </c>
      <c r="F32" s="169">
        <f>IFERROR(C27+C29+C30+C14+C13,0)</f>
        <v/>
      </c>
      <c r="I32" s="170" t="inlineStr">
        <is>
          <t>Crédito + Subsídios + FGTS + Entrada</t>
        </is>
      </c>
    </row>
    <row r="33" ht="7.5" customHeight="1" s="102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21.75" customHeight="1" s="102">
      <c r="A34" s="140" t="inlineStr">
        <is>
          <t xml:space="preserve">  📋  LAUDO EXECUTIVO  —  gerado automaticamente pelo algoritmo IA</t>
        </is>
      </c>
    </row>
    <row r="35" ht="21.75" customHeight="1" s="102">
      <c r="A35" s="141" t="n"/>
      <c r="B35" s="142" t="inlineStr">
        <is>
          <t>Status da Análise:</t>
        </is>
      </c>
      <c r="C35" s="141" t="n"/>
      <c r="D35" s="171">
        <f>IFERROR(IF(C28/C12&lt;=0.3,"✅ APROVAÇÃO PROVÁVEL","⚠️ RISCO — Comprometimento acima de 30%"),"")</f>
        <v/>
      </c>
      <c r="K35" s="141" t="n"/>
    </row>
    <row r="36" ht="18" customHeight="1" s="102">
      <c r="A36" s="151" t="n"/>
      <c r="B36" s="172">
        <f>IFERROR("Simulação preparada para: "&amp;D7,"Simulação preparada para: ---")</f>
        <v/>
      </c>
      <c r="K36" s="151" t="n"/>
    </row>
    <row r="37" ht="13.5" customHeight="1" s="102">
      <c r="A37" s="139" t="n"/>
      <c r="B37" s="173" t="inlineStr">
        <is>
          <t>RENDA FAMILIAR</t>
        </is>
      </c>
      <c r="C37" s="174" t="n"/>
      <c r="D37" s="175" t="inlineStr">
        <is>
          <t>CRÉDITO CAIXA MÁX.</t>
        </is>
      </c>
      <c r="E37" s="174" t="n"/>
      <c r="F37" s="173" t="inlineStr">
        <is>
          <t>PODER DE COMPRA</t>
        </is>
      </c>
      <c r="G37" s="174" t="n"/>
      <c r="H37" s="175" t="inlineStr">
        <is>
          <t>PARCELA PROJETADA</t>
        </is>
      </c>
      <c r="I37" s="174" t="n"/>
      <c r="J37" s="139" t="n"/>
      <c r="K37" s="139" t="n"/>
    </row>
    <row r="38" ht="21.75" customHeight="1" s="102">
      <c r="A38" s="139" t="n"/>
      <c r="B38" s="176">
        <f>IFERROR(C12,0)</f>
        <v/>
      </c>
      <c r="C38" s="174" t="n"/>
      <c r="D38" s="177">
        <f>IFERROR(C27,0)</f>
        <v/>
      </c>
      <c r="E38" s="174" t="n"/>
      <c r="F38" s="176">
        <f>IFERROR(C32,0)</f>
        <v/>
      </c>
      <c r="G38" s="174" t="n"/>
      <c r="H38" s="177">
        <f>IFERROR(H28,0)</f>
        <v/>
      </c>
      <c r="I38" s="174" t="n"/>
      <c r="J38" s="139" t="n"/>
      <c r="K38" s="139" t="n"/>
    </row>
    <row r="39" ht="13.5" customHeight="1" s="102">
      <c r="A39" s="139" t="n"/>
      <c r="B39" s="175" t="inlineStr">
        <is>
          <t>SALDO FGTS</t>
        </is>
      </c>
      <c r="C39" s="174" t="n"/>
      <c r="D39" s="173" t="inlineStr">
        <is>
          <t>COMPROMETIMENTO</t>
        </is>
      </c>
      <c r="E39" s="174" t="n"/>
      <c r="F39" s="175" t="inlineStr">
        <is>
          <t>SUBSÍDIO TOTAL</t>
        </is>
      </c>
      <c r="G39" s="174" t="n"/>
      <c r="H39" s="173" t="inlineStr">
        <is>
          <t>MARGEM DE SEGURANÇA</t>
        </is>
      </c>
      <c r="I39" s="174" t="n"/>
      <c r="J39" s="139" t="n"/>
      <c r="K39" s="139" t="n"/>
    </row>
    <row r="40" ht="21.75" customHeight="1" s="102">
      <c r="A40" s="139" t="n"/>
      <c r="B40" s="177">
        <f>IFERROR(C14,0)</f>
        <v/>
      </c>
      <c r="C40" s="174" t="n"/>
      <c r="D40" s="178">
        <f>IFERROR(C28/C12,0)</f>
        <v/>
      </c>
      <c r="E40" s="174" t="n"/>
      <c r="F40" s="177">
        <f>IFERROR(C29+C30,0)</f>
        <v/>
      </c>
      <c r="G40" s="174" t="n"/>
      <c r="H40" s="178">
        <f>IFERROR(1-(C28/C12),0)</f>
        <v/>
      </c>
      <c r="I40" s="174" t="n"/>
      <c r="J40" s="139" t="n"/>
      <c r="K40" s="139" t="n"/>
    </row>
    <row r="41" ht="7.5" customHeight="1" s="102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9.5" customHeight="1" s="102">
      <c r="A42" s="147" t="n"/>
      <c r="B42" s="148" t="inlineStr">
        <is>
          <t>4. SCORE DE JORNADA</t>
        </is>
      </c>
      <c r="C42" s="147" t="n"/>
      <c r="D42" s="147" t="n"/>
      <c r="E42" s="147" t="n"/>
      <c r="F42" s="147" t="n"/>
      <c r="G42" s="147" t="n"/>
      <c r="H42" s="147" t="n"/>
      <c r="I42" s="147" t="n"/>
      <c r="J42" s="147" t="n"/>
      <c r="K42" s="147" t="n"/>
    </row>
    <row r="43" ht="24" customHeight="1" s="102">
      <c r="A43" s="141" t="n"/>
      <c r="B43" s="179" t="inlineStr">
        <is>
          <t xml:space="preserve">   Pontuação de Aprovação:</t>
        </is>
      </c>
      <c r="C43" s="141" t="n"/>
      <c r="D43" s="180">
        <f>IFERROR(MIN(100,MIN(40,MAX(0,40-((C28/C12-0.25)*200)))+MIN(30,C14/50000*30)+IF(C15="SIM",15,0)+MIN(15,(C13+C14)/5000)),0)</f>
        <v/>
      </c>
      <c r="E43" s="141" t="n"/>
      <c r="F43" s="181">
        <f>IFERROR(REPT("★",INT(H42/20))&amp;REPT("☆",5-INT(H42/20)),"☆☆☆☆☆")</f>
        <v/>
      </c>
      <c r="G43" s="141" t="n"/>
      <c r="H43" s="141" t="n"/>
      <c r="I43" s="141" t="n"/>
      <c r="J43" s="141" t="n"/>
      <c r="K43" s="141" t="n"/>
    </row>
    <row r="44" ht="18" customHeight="1" s="102">
      <c r="A44" s="151" t="n"/>
      <c r="B44" s="182">
        <f>IFERROR("📍 Etapa atual:  Simulação  →  Escolha do Imóvel  →  Documentação  →  Contrato  →  Assinatura","---")</f>
        <v/>
      </c>
      <c r="K44" s="151" t="n"/>
    </row>
    <row r="45" ht="7.5" customHeight="1" s="102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21.75" customHeight="1" s="102">
      <c r="A46" s="140" t="inlineStr">
        <is>
          <t xml:space="preserve">  🏠  ESCOLHA DO IMÓVEL</t>
        </is>
      </c>
    </row>
    <row r="47" ht="15.75" customHeight="1" s="102">
      <c r="A47" s="147" t="n"/>
      <c r="B47" s="148" t="inlineStr">
        <is>
          <t>5. SELECIONE O IMÓVEL DESEJADO</t>
        </is>
      </c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147" t="n"/>
    </row>
    <row r="48" ht="21.75" customHeight="1" s="102">
      <c r="A48" s="141" t="n"/>
      <c r="B48" s="142" t="inlineStr">
        <is>
          <t xml:space="preserve">   Imóvel Selecionado:</t>
        </is>
      </c>
      <c r="C48" s="141" t="n"/>
      <c r="D48" s="183" t="inlineStr">
        <is>
          <t>Selecione um Imóvel...</t>
        </is>
      </c>
      <c r="E48" s="184" t="n"/>
      <c r="F48" s="184" t="n"/>
      <c r="G48" s="185" t="n"/>
      <c r="H48" s="144" t="inlineStr">
        <is>
          <t>← Clique e selecione da lista</t>
        </is>
      </c>
      <c r="K48" s="141" t="n"/>
    </row>
    <row r="49" ht="19.5" customHeight="1" s="102">
      <c r="A49" s="151" t="n"/>
      <c r="B49" s="152" t="inlineStr">
        <is>
          <t xml:space="preserve">   Valor Estimado (R$):</t>
        </is>
      </c>
      <c r="C49" s="151" t="n"/>
      <c r="D49" s="186">
        <f>IFERROR(VLOOKUP(D48,SysData,2,FALSE()),0)</f>
        <v/>
      </c>
      <c r="F49" s="154">
        <f>IFERROR(IF(VLOOKUP(D48,SysData,2,FALSE())&lt;=C32,"✅ Dentro do seu poder de compra","⚠️ Acima do seu poder de compra"),"")</f>
        <v/>
      </c>
      <c r="K49" s="151" t="n"/>
    </row>
    <row r="50" ht="19.5" customHeight="1" s="102">
      <c r="A50" s="141" t="n"/>
      <c r="B50" s="145" t="inlineStr">
        <is>
          <t xml:space="preserve">   Bairro / Localização:</t>
        </is>
      </c>
      <c r="C50" s="141" t="n"/>
      <c r="D50" s="187">
        <f>IFERROR(VLOOKUP(D48,SysData,5,FALSE()),"---")</f>
        <v/>
      </c>
      <c r="F50" s="141" t="n"/>
      <c r="G50" s="141" t="n"/>
      <c r="H50" s="141" t="n"/>
      <c r="I50" s="141" t="n"/>
      <c r="J50" s="141" t="n"/>
      <c r="K50" s="141" t="n"/>
    </row>
    <row r="51" ht="19.5" customHeight="1" s="102">
      <c r="A51" s="151" t="n"/>
      <c r="B51" s="152" t="inlineStr">
        <is>
          <t xml:space="preserve">   Status da Obra:</t>
        </is>
      </c>
      <c r="C51" s="151" t="n"/>
      <c r="D51" s="188">
        <f>IFERROR(VLOOKUP(D48,SysData,10,FALSE()),"---")</f>
        <v/>
      </c>
      <c r="E51" s="151" t="n"/>
      <c r="F51" s="152" t="inlineStr">
        <is>
          <t>Prazo de Obra (meses):</t>
        </is>
      </c>
      <c r="G51" s="151" t="n"/>
      <c r="H51" s="188">
        <f>IFERROR(VLOOKUP(D48,SysData,11,FALSE()),"---")</f>
        <v/>
      </c>
      <c r="I51" s="151" t="n"/>
      <c r="J51" s="151" t="n"/>
      <c r="K51" s="151" t="n"/>
    </row>
    <row r="52" ht="19.5" customHeight="1" s="102">
      <c r="A52" s="141" t="n"/>
      <c r="B52" s="145" t="inlineStr">
        <is>
          <t xml:space="preserve">   Previsão de Entrega das Chaves:</t>
        </is>
      </c>
      <c r="C52" s="141" t="n"/>
      <c r="D52" s="187">
        <f>IFERROR(TEXT(EDATE(TODAY(),VLOOKUP(D48,SysData,11,FALSE())),"MM/YYYY"),"---")</f>
        <v/>
      </c>
      <c r="E52" s="141" t="n"/>
      <c r="F52" s="142" t="inlineStr">
        <is>
          <t>Ver Imóvel no Site:</t>
        </is>
      </c>
      <c r="G52" s="141" t="n"/>
      <c r="H52" s="189">
        <f>HYPERLINK("https://mtparceiros-alt.github.io/site-mt","🔗 Abrir Imóvel no Site")</f>
        <v/>
      </c>
      <c r="I52" s="141" t="n"/>
      <c r="J52" s="141" t="n"/>
      <c r="K52" s="141" t="n"/>
    </row>
    <row r="53" ht="7.5" customHeight="1" s="102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21.75" customHeight="1" s="102">
      <c r="A54" s="140" t="inlineStr">
        <is>
          <t xml:space="preserve">  🎯  PLANEJAMENTO DA CONQUISTA  —  IA Meta</t>
        </is>
      </c>
    </row>
    <row r="55" ht="15.75" customHeight="1" s="102">
      <c r="A55" s="147" t="n"/>
      <c r="B55" s="148" t="inlineStr">
        <is>
          <t>6. MINHA ESTRATÉGIA FINANCEIRA</t>
        </is>
      </c>
      <c r="C55" s="147" t="n"/>
      <c r="D55" s="147" t="n"/>
      <c r="E55" s="147" t="n"/>
      <c r="F55" s="147" t="n"/>
      <c r="G55" s="147" t="n"/>
      <c r="H55" s="147" t="n"/>
      <c r="I55" s="147" t="n"/>
      <c r="J55" s="147" t="n"/>
      <c r="K55" s="147" t="n"/>
    </row>
    <row r="56" ht="19.5" customHeight="1" s="102">
      <c r="A56" s="141" t="n"/>
      <c r="B56" s="145" t="inlineStr">
        <is>
          <t xml:space="preserve">   Diferença para Entrada (Gap):</t>
        </is>
      </c>
      <c r="C56" s="141" t="n"/>
      <c r="D56" s="190">
        <f>IFERROR(MAX(0,C49-C32),0)</f>
        <v/>
      </c>
      <c r="F56" s="141" t="n"/>
      <c r="G56" s="141" t="n"/>
      <c r="H56" s="141" t="n"/>
      <c r="I56" s="141" t="n"/>
      <c r="J56" s="141" t="n"/>
      <c r="K56" s="141" t="n"/>
    </row>
    <row r="57" ht="19.5" customHeight="1" s="102">
      <c r="A57" s="151" t="n"/>
      <c r="B57" s="152" t="inlineStr">
        <is>
          <t xml:space="preserve">   Minha Reserva Mensal (Aporte):</t>
        </is>
      </c>
      <c r="C57" s="151" t="n"/>
      <c r="D57" s="191" t="n">
        <v>500</v>
      </c>
      <c r="E57" s="185" t="n"/>
      <c r="F57" s="154" t="inlineStr">
        <is>
          <t>← Quanto você consegue guardar por mês?</t>
        </is>
      </c>
      <c r="K57" s="151" t="n"/>
    </row>
    <row r="58" ht="19.5" customHeight="1" s="102">
      <c r="A58" s="141" t="n"/>
      <c r="B58" s="145" t="inlineStr">
        <is>
          <t xml:space="preserve">   Aporte Sugerido pela IA:</t>
        </is>
      </c>
      <c r="C58" s="141" t="n"/>
      <c r="D58" s="190">
        <f>IFERROR(IF(C56&lt;=0,0,IF(VLOOKUP(D48,SysData,10,FALSE())="Obra",C56/MAX(1,VLOOKUP(D48,SysData,11,FALSE())),C56/12)),0)</f>
        <v/>
      </c>
      <c r="F58" s="141" t="n"/>
      <c r="G58" s="141" t="n"/>
      <c r="H58" s="141" t="n"/>
      <c r="I58" s="141" t="n"/>
      <c r="J58" s="141" t="n"/>
      <c r="K58" s="141" t="n"/>
    </row>
    <row r="59" ht="19.5" customHeight="1" s="102">
      <c r="A59" s="151" t="n"/>
      <c r="B59" s="152" t="inlineStr">
        <is>
          <t xml:space="preserve">   Evolução de Obra (Banco/mês):</t>
        </is>
      </c>
      <c r="C59" s="151" t="n"/>
      <c r="D59" s="192">
        <f>IFERROR(IF(VLOOKUP(D48,SysData,10,FALSE())="Obra",C27*0.0002,0),0)</f>
        <v/>
      </c>
      <c r="F59" s="151" t="n"/>
      <c r="G59" s="151" t="n"/>
      <c r="H59" s="151" t="n"/>
      <c r="I59" s="151" t="n"/>
      <c r="J59" s="151" t="n"/>
      <c r="K59" s="151" t="n"/>
    </row>
    <row r="60" ht="19.5" customHeight="1" s="102">
      <c r="A60" s="141" t="n"/>
      <c r="B60" s="145" t="inlineStr">
        <is>
          <t xml:space="preserve">   Prazo Estimado para Meta:</t>
        </is>
      </c>
      <c r="C60" s="141" t="n"/>
      <c r="D60" s="193">
        <f>IFERROR(IF(C56&lt;=0,"✅ Meta já atingida!",INT(C56/MAX(1,C57))&amp;" meses"),"---")</f>
        <v/>
      </c>
      <c r="F60" s="141" t="n"/>
      <c r="G60" s="141" t="n"/>
      <c r="H60" s="141" t="n"/>
      <c r="I60" s="141" t="n"/>
      <c r="J60" s="141" t="n"/>
      <c r="K60" s="141" t="n"/>
    </row>
    <row r="61" ht="19.5" customHeight="1" s="102">
      <c r="A61" s="194" t="n"/>
      <c r="B61" s="195">
        <f>IFERROR(IF(C12*0.3&lt;=C22,"⚠️ ALERTA: Suas despesas superam sua margem de crédito. Reduza seus custos ou aumente a renda para a CAIXA aprovar.",""),"")</f>
        <v/>
      </c>
      <c r="C61" s="184" t="n"/>
      <c r="D61" s="184" t="n"/>
      <c r="E61" s="184" t="n"/>
      <c r="F61" s="184" t="n"/>
      <c r="G61" s="184" t="n"/>
      <c r="H61" s="184" t="n"/>
      <c r="I61" s="184" t="n"/>
      <c r="J61" s="184" t="n"/>
      <c r="K61" s="194" t="n"/>
    </row>
    <row r="62" ht="7.5" customHeight="1" s="102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21.75" customHeight="1" s="102">
      <c r="A63" s="140" t="inlineStr">
        <is>
          <t xml:space="preserve">  📅  TRACKER DE APORTES  —  marque 'Sim' ao realizar cada aporte</t>
        </is>
      </c>
    </row>
    <row r="64" ht="27.75" customHeight="1" s="102">
      <c r="A64" s="196" t="n"/>
      <c r="B64" s="197" t="inlineStr">
        <is>
          <t>💰 TOTAL APORTADO:</t>
        </is>
      </c>
      <c r="E64" s="198">
        <f>IFERROR(SUMIF(B68:B103,"Sim",D68:D103)+SUMIF(B68:B103,"Sim",E68:E103),0)</f>
        <v/>
      </c>
      <c r="G64" s="199" t="inlineStr">
        <is>
          <t>⏳ SALDO RESTANTE:</t>
        </is>
      </c>
      <c r="H64" s="200">
        <f>IFERROR(C49-(SUMIF(B68:B103,"Sim",D68:D103)+SUMIF(B68:B103,"Sim",E68:E103)),C49)</f>
        <v/>
      </c>
      <c r="K64" s="196" t="n"/>
    </row>
    <row r="65" ht="15.75" customHeight="1" s="102">
      <c r="A65" s="147" t="n"/>
      <c r="B65" s="201">
        <f>IFERROR("📊 Progresso: "&amp;TEXT(MIN(100,E64/MAX(1,C49)),"0%")&amp;" conquistado  |  "&amp;REPT("█",INT(MIN(20,E64/MAX(1,C49)*20)))&amp;REPT("░",20-INT(MIN(20,E64/MAX(1,C49)*20)))&amp;"  |  Faltam: R$ "&amp;TEXT(MAX(0,C49-E64),"#,##0"),"---")</f>
        <v/>
      </c>
      <c r="K65" s="147" t="n"/>
    </row>
    <row r="66" ht="15.75" customHeight="1" s="102">
      <c r="A66" s="202" t="n"/>
      <c r="B66" s="203" t="inlineStr">
        <is>
          <t>💡 COMO USAR: Marque 'Sim' na coluna PAGO quando realizar um aporte. O saldo considera apenas valores confirmados.</t>
        </is>
      </c>
      <c r="K66" s="202" t="n"/>
    </row>
    <row r="67" ht="19.5" customHeight="1" s="102">
      <c r="A67" s="204" t="n"/>
      <c r="B67" s="205" t="inlineStr">
        <is>
          <t>✅ Pago?</t>
        </is>
      </c>
      <c r="C67" s="205" t="inlineStr">
        <is>
          <t>Mês / Ano</t>
        </is>
      </c>
      <c r="D67" s="205" t="inlineStr">
        <is>
          <t>Aporte Mensal (R$)</t>
        </is>
      </c>
      <c r="E67" s="205" t="inlineStr">
        <is>
          <t>Extra (13°/Bônus)</t>
        </is>
      </c>
      <c r="F67" s="205" t="inlineStr">
        <is>
          <t>Saldo Acumulado (R$)</t>
        </is>
      </c>
      <c r="G67" s="205" t="inlineStr">
        <is>
          <t>Meta (R$)</t>
        </is>
      </c>
      <c r="H67" s="205" t="inlineStr">
        <is>
          <t>Status</t>
        </is>
      </c>
      <c r="I67" s="205" t="inlineStr">
        <is>
          <t>% Obj.</t>
        </is>
      </c>
      <c r="J67" s="204" t="n"/>
      <c r="K67" s="204" t="n"/>
    </row>
    <row r="68" ht="16.5" customHeight="1" s="102">
      <c r="A68" s="141" t="n"/>
      <c r="B68" s="206" t="inlineStr">
        <is>
          <t>Não</t>
        </is>
      </c>
      <c r="C68" s="206">
        <f>IFERROR(TEXT(EDATE(TODAY(),0),"MMM/YYYY"),"---")</f>
        <v/>
      </c>
      <c r="D68" s="207">
        <f>IFERROR($C$58,0)</f>
        <v/>
      </c>
      <c r="E68" s="207">
        <f>IFERROR(IF(MONTH(EDATE(TODAY(),0))=12,$C$12*0.5,0),0)</f>
        <v/>
      </c>
      <c r="F68" s="207">
        <f>IFERROR($C$14+IF(B68="Sim",D68+E68,0),0)</f>
        <v/>
      </c>
      <c r="G68" s="207">
        <f>IFERROR($C$49,$C$32)</f>
        <v/>
      </c>
      <c r="H68" s="206">
        <f>IFERROR(IF(F68&gt;=G68,"✅ ATINGIDA","⏳ EM CURSO"),"---")</f>
        <v/>
      </c>
      <c r="I68" s="206">
        <f>IFERROR(TEXT(MIN(100%,F68/MAX(1,G68)),"0%"),"-")</f>
        <v/>
      </c>
      <c r="J68" s="141" t="n"/>
      <c r="K68" s="141" t="n"/>
    </row>
    <row r="69" ht="16.5" customHeight="1" s="102">
      <c r="A69" s="151" t="n"/>
      <c r="B69" s="208" t="inlineStr">
        <is>
          <t>Não</t>
        </is>
      </c>
      <c r="C69" s="208">
        <f>IFERROR(TEXT(EDATE(TODAY(),1),"MMM/YYYY"),"---")</f>
        <v/>
      </c>
      <c r="D69" s="209">
        <f>IFERROR($C$58,0)</f>
        <v/>
      </c>
      <c r="E69" s="209">
        <f>IFERROR(IF(MONTH(EDATE(TODAY(),1))=12,$C$12*0.5,0),0)</f>
        <v/>
      </c>
      <c r="F69" s="209">
        <f>IFERROR(F68+IF(B69="Sim",D69+E69,0),0)</f>
        <v/>
      </c>
      <c r="G69" s="209">
        <f>IFERROR($C$49,$C$32)</f>
        <v/>
      </c>
      <c r="H69" s="208">
        <f>IFERROR(IF(F69&gt;=G69,"✅ ATINGIDA","⏳ EM CURSO"),"---")</f>
        <v/>
      </c>
      <c r="I69" s="208">
        <f>IFERROR(TEXT(MIN(100%,F69/MAX(1,G69)),"0%"),"-")</f>
        <v/>
      </c>
      <c r="J69" s="151" t="n"/>
      <c r="K69" s="151" t="n"/>
    </row>
    <row r="70" ht="16.5" customHeight="1" s="102">
      <c r="A70" s="141" t="n"/>
      <c r="B70" s="206" t="inlineStr">
        <is>
          <t>Não</t>
        </is>
      </c>
      <c r="C70" s="206">
        <f>IFERROR(TEXT(EDATE(TODAY(),2),"MMM/YYYY"),"---")</f>
        <v/>
      </c>
      <c r="D70" s="207">
        <f>IFERROR($C$58,0)</f>
        <v/>
      </c>
      <c r="E70" s="207">
        <f>IFERROR(IF(MONTH(EDATE(TODAY(),2))=12,$C$12*0.5,0),0)</f>
        <v/>
      </c>
      <c r="F70" s="207">
        <f>IFERROR(F69+IF(B70="Sim",D70+E70,0),0)</f>
        <v/>
      </c>
      <c r="G70" s="207">
        <f>IFERROR($C$49,$C$32)</f>
        <v/>
      </c>
      <c r="H70" s="206">
        <f>IFERROR(IF(F70&gt;=G70,"✅ ATINGIDA","⏳ EM CURSO"),"---")</f>
        <v/>
      </c>
      <c r="I70" s="206">
        <f>IFERROR(TEXT(MIN(100%,F70/MAX(1,G70)),"0%"),"-")</f>
        <v/>
      </c>
      <c r="J70" s="141" t="n"/>
      <c r="K70" s="141" t="n"/>
    </row>
    <row r="71" ht="16.5" customHeight="1" s="102">
      <c r="A71" s="151" t="n"/>
      <c r="B71" s="208" t="inlineStr">
        <is>
          <t>Não</t>
        </is>
      </c>
      <c r="C71" s="208">
        <f>IFERROR(TEXT(EDATE(TODAY(),3),"MMM/YYYY"),"---")</f>
        <v/>
      </c>
      <c r="D71" s="209">
        <f>IFERROR($C$58,0)</f>
        <v/>
      </c>
      <c r="E71" s="209">
        <f>IFERROR(IF(MONTH(EDATE(TODAY(),3))=12,$C$12*0.5,0),0)</f>
        <v/>
      </c>
      <c r="F71" s="209">
        <f>IFERROR(F70+IF(B71="Sim",D71+E71,0),0)</f>
        <v/>
      </c>
      <c r="G71" s="209">
        <f>IFERROR($C$49,$C$32)</f>
        <v/>
      </c>
      <c r="H71" s="208">
        <f>IFERROR(IF(F71&gt;=G71,"✅ ATINGIDA","⏳ EM CURSO"),"---")</f>
        <v/>
      </c>
      <c r="I71" s="208">
        <f>IFERROR(TEXT(MIN(100%,F71/MAX(1,G71)),"0%"),"-")</f>
        <v/>
      </c>
      <c r="J71" s="151" t="n"/>
      <c r="K71" s="151" t="n"/>
    </row>
    <row r="72" ht="16.5" customHeight="1" s="102">
      <c r="A72" s="141" t="n"/>
      <c r="B72" s="206" t="inlineStr">
        <is>
          <t>Não</t>
        </is>
      </c>
      <c r="C72" s="206">
        <f>IFERROR(TEXT(EDATE(TODAY(),4),"MMM/YYYY"),"---")</f>
        <v/>
      </c>
      <c r="D72" s="207">
        <f>IFERROR($C$58,0)</f>
        <v/>
      </c>
      <c r="E72" s="207">
        <f>IFERROR(IF(MONTH(EDATE(TODAY(),4))=12,$C$12*0.5,0),0)</f>
        <v/>
      </c>
      <c r="F72" s="207">
        <f>IFERROR(F71+IF(B72="Sim",D72+E72,0),0)</f>
        <v/>
      </c>
      <c r="G72" s="207">
        <f>IFERROR($C$49,$C$32)</f>
        <v/>
      </c>
      <c r="H72" s="206">
        <f>IFERROR(IF(F72&gt;=G72,"✅ ATINGIDA","⏳ EM CURSO"),"---")</f>
        <v/>
      </c>
      <c r="I72" s="206">
        <f>IFERROR(TEXT(MIN(100%,F72/MAX(1,G72)),"0%"),"-")</f>
        <v/>
      </c>
      <c r="J72" s="141" t="n"/>
      <c r="K72" s="141" t="n"/>
    </row>
    <row r="73" ht="16.5" customHeight="1" s="102">
      <c r="A73" s="151" t="n"/>
      <c r="B73" s="208" t="inlineStr">
        <is>
          <t>Não</t>
        </is>
      </c>
      <c r="C73" s="208">
        <f>IFERROR(TEXT(EDATE(TODAY(),5),"MMM/YYYY"),"---")</f>
        <v/>
      </c>
      <c r="D73" s="209">
        <f>IFERROR($C$58,0)</f>
        <v/>
      </c>
      <c r="E73" s="209">
        <f>IFERROR(IF(MONTH(EDATE(TODAY(),5))=12,$C$12*0.5,0),0)</f>
        <v/>
      </c>
      <c r="F73" s="209">
        <f>IFERROR(F72+IF(B73="Sim",D73+E73,0),0)</f>
        <v/>
      </c>
      <c r="G73" s="209">
        <f>IFERROR($C$49,$C$32)</f>
        <v/>
      </c>
      <c r="H73" s="208">
        <f>IFERROR(IF(F73&gt;=G73,"✅ ATINGIDA","⏳ EM CURSO"),"---")</f>
        <v/>
      </c>
      <c r="I73" s="208">
        <f>IFERROR(TEXT(MIN(100%,F73/MAX(1,G73)),"0%"),"-")</f>
        <v/>
      </c>
      <c r="J73" s="151" t="n"/>
      <c r="K73" s="151" t="n"/>
    </row>
    <row r="74" ht="16.5" customHeight="1" s="102">
      <c r="A74" s="141" t="n"/>
      <c r="B74" s="206" t="inlineStr">
        <is>
          <t>Não</t>
        </is>
      </c>
      <c r="C74" s="206">
        <f>IFERROR(TEXT(EDATE(TODAY(),6),"MMM/YYYY"),"---")</f>
        <v/>
      </c>
      <c r="D74" s="207">
        <f>IFERROR($C$58,0)</f>
        <v/>
      </c>
      <c r="E74" s="207">
        <f>IFERROR(IF(MONTH(EDATE(TODAY(),6))=12,$C$12*0.5,0),0)</f>
        <v/>
      </c>
      <c r="F74" s="207">
        <f>IFERROR(F73+IF(B74="Sim",D74+E74,0),0)</f>
        <v/>
      </c>
      <c r="G74" s="207">
        <f>IFERROR($C$49,$C$32)</f>
        <v/>
      </c>
      <c r="H74" s="206">
        <f>IFERROR(IF(F74&gt;=G74,"✅ ATINGIDA","⏳ EM CURSO"),"---")</f>
        <v/>
      </c>
      <c r="I74" s="206">
        <f>IFERROR(TEXT(MIN(100%,F74/MAX(1,G74)),"0%"),"-")</f>
        <v/>
      </c>
      <c r="J74" s="141" t="n"/>
      <c r="K74" s="141" t="n"/>
    </row>
    <row r="75" ht="16.5" customHeight="1" s="102">
      <c r="A75" s="151" t="n"/>
      <c r="B75" s="208" t="inlineStr">
        <is>
          <t>Não</t>
        </is>
      </c>
      <c r="C75" s="208">
        <f>IFERROR(TEXT(EDATE(TODAY(),7),"MMM/YYYY"),"---")</f>
        <v/>
      </c>
      <c r="D75" s="209">
        <f>IFERROR($C$58,0)</f>
        <v/>
      </c>
      <c r="E75" s="209">
        <f>IFERROR(IF(MONTH(EDATE(TODAY(),7))=12,$C$12*0.5,0),0)</f>
        <v/>
      </c>
      <c r="F75" s="209">
        <f>IFERROR(F74+IF(B75="Sim",D75+E75,0),0)</f>
        <v/>
      </c>
      <c r="G75" s="209">
        <f>IFERROR($C$49,$C$32)</f>
        <v/>
      </c>
      <c r="H75" s="208">
        <f>IFERROR(IF(F75&gt;=G75,"✅ ATINGIDA","⏳ EM CURSO"),"---")</f>
        <v/>
      </c>
      <c r="I75" s="208">
        <f>IFERROR(TEXT(MIN(100%,F75/MAX(1,G75)),"0%"),"-")</f>
        <v/>
      </c>
      <c r="J75" s="151" t="n"/>
      <c r="K75" s="151" t="n"/>
    </row>
    <row r="76" ht="16.5" customHeight="1" s="102">
      <c r="A76" s="141" t="n"/>
      <c r="B76" s="206" t="inlineStr">
        <is>
          <t>Não</t>
        </is>
      </c>
      <c r="C76" s="206">
        <f>IFERROR(TEXT(EDATE(TODAY(),8),"MMM/YYYY"),"---")</f>
        <v/>
      </c>
      <c r="D76" s="207">
        <f>IFERROR($C$58,0)</f>
        <v/>
      </c>
      <c r="E76" s="207">
        <f>IFERROR(IF(MONTH(EDATE(TODAY(),8))=12,$C$12*0.5,0),0)</f>
        <v/>
      </c>
      <c r="F76" s="207">
        <f>IFERROR(F75+IF(B76="Sim",D76+E76,0),0)</f>
        <v/>
      </c>
      <c r="G76" s="207">
        <f>IFERROR($C$49,$C$32)</f>
        <v/>
      </c>
      <c r="H76" s="206">
        <f>IFERROR(IF(F76&gt;=G76,"✅ ATINGIDA","⏳ EM CURSO"),"---")</f>
        <v/>
      </c>
      <c r="I76" s="206">
        <f>IFERROR(TEXT(MIN(100%,F76/MAX(1,G76)),"0%"),"-")</f>
        <v/>
      </c>
      <c r="J76" s="141" t="n"/>
      <c r="K76" s="141" t="n"/>
    </row>
    <row r="77" ht="16.5" customHeight="1" s="102">
      <c r="A77" s="151" t="n"/>
      <c r="B77" s="208" t="inlineStr">
        <is>
          <t>Não</t>
        </is>
      </c>
      <c r="C77" s="208">
        <f>IFERROR(TEXT(EDATE(TODAY(),9),"MMM/YYYY"),"---")</f>
        <v/>
      </c>
      <c r="D77" s="209">
        <f>IFERROR($C$58,0)</f>
        <v/>
      </c>
      <c r="E77" s="209">
        <f>IFERROR(IF(MONTH(EDATE(TODAY(),9))=12,$C$12*0.5,0),0)</f>
        <v/>
      </c>
      <c r="F77" s="209">
        <f>IFERROR(F76+IF(B77="Sim",D77+E77,0),0)</f>
        <v/>
      </c>
      <c r="G77" s="209">
        <f>IFERROR($C$49,$C$32)</f>
        <v/>
      </c>
      <c r="H77" s="208">
        <f>IFERROR(IF(F77&gt;=G77,"✅ ATINGIDA","⏳ EM CURSO"),"---")</f>
        <v/>
      </c>
      <c r="I77" s="208">
        <f>IFERROR(TEXT(MIN(100%,F77/MAX(1,G77)),"0%"),"-")</f>
        <v/>
      </c>
      <c r="J77" s="151" t="n"/>
      <c r="K77" s="151" t="n"/>
    </row>
    <row r="78" ht="16.5" customHeight="1" s="102">
      <c r="A78" s="141" t="n"/>
      <c r="B78" s="206" t="inlineStr">
        <is>
          <t>Não</t>
        </is>
      </c>
      <c r="C78" s="206">
        <f>IFERROR(TEXT(EDATE(TODAY(),10),"MMM/YYYY"),"---")</f>
        <v/>
      </c>
      <c r="D78" s="207">
        <f>IFERROR($C$58,0)</f>
        <v/>
      </c>
      <c r="E78" s="207">
        <f>IFERROR(IF(MONTH(EDATE(TODAY(),10))=12,$C$12*0.5,0),0)</f>
        <v/>
      </c>
      <c r="F78" s="207">
        <f>IFERROR(F77+IF(B78="Sim",D78+E78,0),0)</f>
        <v/>
      </c>
      <c r="G78" s="207">
        <f>IFERROR($C$49,$C$32)</f>
        <v/>
      </c>
      <c r="H78" s="206">
        <f>IFERROR(IF(F78&gt;=G78,"✅ ATINGIDA","⏳ EM CURSO"),"---")</f>
        <v/>
      </c>
      <c r="I78" s="206">
        <f>IFERROR(TEXT(MIN(100%,F78/MAX(1,G78)),"0%"),"-")</f>
        <v/>
      </c>
      <c r="J78" s="141" t="n"/>
      <c r="K78" s="141" t="n"/>
    </row>
    <row r="79" ht="16.5" customHeight="1" s="102">
      <c r="A79" s="151" t="n"/>
      <c r="B79" s="208" t="inlineStr">
        <is>
          <t>Não</t>
        </is>
      </c>
      <c r="C79" s="208">
        <f>IFERROR(TEXT(EDATE(TODAY(),11),"MMM/YYYY"),"---")</f>
        <v/>
      </c>
      <c r="D79" s="209">
        <f>IFERROR($C$58,0)</f>
        <v/>
      </c>
      <c r="E79" s="209">
        <f>IFERROR(IF(MONTH(EDATE(TODAY(),11))=12,$C$12*0.5,0),0)</f>
        <v/>
      </c>
      <c r="F79" s="209">
        <f>IFERROR(F78+IF(B79="Sim",D79+E79,0),0)</f>
        <v/>
      </c>
      <c r="G79" s="209">
        <f>IFERROR($C$49,$C$32)</f>
        <v/>
      </c>
      <c r="H79" s="208">
        <f>IFERROR(IF(F79&gt;=G79,"✅ ATINGIDA","⏳ EM CURSO"),"---")</f>
        <v/>
      </c>
      <c r="I79" s="208">
        <f>IFERROR(TEXT(MIN(100%,F79/MAX(1,G79)),"0%"),"-")</f>
        <v/>
      </c>
      <c r="J79" s="151" t="n"/>
      <c r="K79" s="151" t="n"/>
    </row>
    <row r="80" ht="16.5" customHeight="1" s="102">
      <c r="A80" s="141" t="n"/>
      <c r="B80" s="206" t="inlineStr">
        <is>
          <t>Não</t>
        </is>
      </c>
      <c r="C80" s="206">
        <f>IFERROR(TEXT(EDATE(TODAY(),12),"MMM/YYYY"),"---")</f>
        <v/>
      </c>
      <c r="D80" s="207">
        <f>IFERROR($C$58,0)</f>
        <v/>
      </c>
      <c r="E80" s="207">
        <f>IFERROR(IF(MONTH(EDATE(TODAY(),12))=12,$C$12*0.5,0),0)</f>
        <v/>
      </c>
      <c r="F80" s="207">
        <f>IFERROR(F79+IF(B80="Sim",D80+E80,0),0)</f>
        <v/>
      </c>
      <c r="G80" s="207">
        <f>IFERROR($C$49,$C$32)</f>
        <v/>
      </c>
      <c r="H80" s="206">
        <f>IFERROR(IF(F80&gt;=G80,"✅ ATINGIDA","⏳ EM CURSO"),"---")</f>
        <v/>
      </c>
      <c r="I80" s="206">
        <f>IFERROR(TEXT(MIN(100%,F80/MAX(1,G80)),"0%"),"-")</f>
        <v/>
      </c>
      <c r="J80" s="141" t="n"/>
      <c r="K80" s="141" t="n"/>
    </row>
    <row r="81" ht="16.5" customHeight="1" s="102">
      <c r="A81" s="151" t="n"/>
      <c r="B81" s="208" t="inlineStr">
        <is>
          <t>Não</t>
        </is>
      </c>
      <c r="C81" s="208">
        <f>IFERROR(TEXT(EDATE(TODAY(),13),"MMM/YYYY"),"---")</f>
        <v/>
      </c>
      <c r="D81" s="209">
        <f>IFERROR($C$58,0)</f>
        <v/>
      </c>
      <c r="E81" s="209">
        <f>IFERROR(IF(MONTH(EDATE(TODAY(),13))=12,$C$12*0.5,0),0)</f>
        <v/>
      </c>
      <c r="F81" s="209">
        <f>IFERROR(F80+IF(B81="Sim",D81+E81,0),0)</f>
        <v/>
      </c>
      <c r="G81" s="209">
        <f>IFERROR($C$49,$C$32)</f>
        <v/>
      </c>
      <c r="H81" s="208">
        <f>IFERROR(IF(F81&gt;=G81,"✅ ATINGIDA","⏳ EM CURSO"),"---")</f>
        <v/>
      </c>
      <c r="I81" s="208">
        <f>IFERROR(TEXT(MIN(100%,F81/MAX(1,G81)),"0%"),"-")</f>
        <v/>
      </c>
      <c r="J81" s="151" t="n"/>
      <c r="K81" s="151" t="n"/>
    </row>
    <row r="82" ht="16.5" customHeight="1" s="102">
      <c r="A82" s="141" t="n"/>
      <c r="B82" s="206" t="inlineStr">
        <is>
          <t>Não</t>
        </is>
      </c>
      <c r="C82" s="206">
        <f>IFERROR(TEXT(EDATE(TODAY(),14),"MMM/YYYY"),"---")</f>
        <v/>
      </c>
      <c r="D82" s="207">
        <f>IFERROR($C$58,0)</f>
        <v/>
      </c>
      <c r="E82" s="207">
        <f>IFERROR(IF(MONTH(EDATE(TODAY(),14))=12,$C$12*0.5,0),0)</f>
        <v/>
      </c>
      <c r="F82" s="207">
        <f>IFERROR(F81+IF(B82="Sim",D82+E82,0),0)</f>
        <v/>
      </c>
      <c r="G82" s="207">
        <f>IFERROR($C$49,$C$32)</f>
        <v/>
      </c>
      <c r="H82" s="206">
        <f>IFERROR(IF(F82&gt;=G82,"✅ ATINGIDA","⏳ EM CURSO"),"---")</f>
        <v/>
      </c>
      <c r="I82" s="206">
        <f>IFERROR(TEXT(MIN(100%,F82/MAX(1,G82)),"0%"),"-")</f>
        <v/>
      </c>
      <c r="J82" s="141" t="n"/>
      <c r="K82" s="141" t="n"/>
    </row>
    <row r="83" ht="16.5" customHeight="1" s="102">
      <c r="A83" s="151" t="n"/>
      <c r="B83" s="208" t="inlineStr">
        <is>
          <t>Não</t>
        </is>
      </c>
      <c r="C83" s="208">
        <f>IFERROR(TEXT(EDATE(TODAY(),15),"MMM/YYYY"),"---")</f>
        <v/>
      </c>
      <c r="D83" s="209">
        <f>IFERROR($C$58,0)</f>
        <v/>
      </c>
      <c r="E83" s="209">
        <f>IFERROR(IF(MONTH(EDATE(TODAY(),15))=12,$C$12*0.5,0),0)</f>
        <v/>
      </c>
      <c r="F83" s="209">
        <f>IFERROR(F82+IF(B83="Sim",D83+E83,0),0)</f>
        <v/>
      </c>
      <c r="G83" s="209">
        <f>IFERROR($C$49,$C$32)</f>
        <v/>
      </c>
      <c r="H83" s="208">
        <f>IFERROR(IF(F83&gt;=G83,"✅ ATINGIDA","⏳ EM CURSO"),"---")</f>
        <v/>
      </c>
      <c r="I83" s="208">
        <f>IFERROR(TEXT(MIN(100%,F83/MAX(1,G83)),"0%"),"-")</f>
        <v/>
      </c>
      <c r="J83" s="151" t="n"/>
      <c r="K83" s="151" t="n"/>
    </row>
    <row r="84" ht="16.5" customHeight="1" s="102">
      <c r="A84" s="141" t="n"/>
      <c r="B84" s="206" t="inlineStr">
        <is>
          <t>Não</t>
        </is>
      </c>
      <c r="C84" s="206">
        <f>IFERROR(TEXT(EDATE(TODAY(),16),"MMM/YYYY"),"---")</f>
        <v/>
      </c>
      <c r="D84" s="207">
        <f>IFERROR($C$58,0)</f>
        <v/>
      </c>
      <c r="E84" s="207">
        <f>IFERROR(IF(MONTH(EDATE(TODAY(),16))=12,$C$12*0.5,0),0)</f>
        <v/>
      </c>
      <c r="F84" s="207">
        <f>IFERROR(F83+IF(B84="Sim",D84+E84,0),0)</f>
        <v/>
      </c>
      <c r="G84" s="207">
        <f>IFERROR($C$49,$C$32)</f>
        <v/>
      </c>
      <c r="H84" s="206">
        <f>IFERROR(IF(F84&gt;=G84,"✅ ATINGIDA","⏳ EM CURSO"),"---")</f>
        <v/>
      </c>
      <c r="I84" s="206">
        <f>IFERROR(TEXT(MIN(100%,F84/MAX(1,G84)),"0%"),"-")</f>
        <v/>
      </c>
      <c r="J84" s="141" t="n"/>
      <c r="K84" s="141" t="n"/>
    </row>
    <row r="85" ht="16.5" customHeight="1" s="102">
      <c r="A85" s="151" t="n"/>
      <c r="B85" s="208" t="inlineStr">
        <is>
          <t>Não</t>
        </is>
      </c>
      <c r="C85" s="208">
        <f>IFERROR(TEXT(EDATE(TODAY(),17),"MMM/YYYY"),"---")</f>
        <v/>
      </c>
      <c r="D85" s="209">
        <f>IFERROR($C$58,0)</f>
        <v/>
      </c>
      <c r="E85" s="209">
        <f>IFERROR(IF(MONTH(EDATE(TODAY(),17))=12,$C$12*0.5,0),0)</f>
        <v/>
      </c>
      <c r="F85" s="209">
        <f>IFERROR(F84+IF(B85="Sim",D85+E85,0),0)</f>
        <v/>
      </c>
      <c r="G85" s="209">
        <f>IFERROR($C$49,$C$32)</f>
        <v/>
      </c>
      <c r="H85" s="208">
        <f>IFERROR(IF(F85&gt;=G85,"✅ ATINGIDA","⏳ EM CURSO"),"---")</f>
        <v/>
      </c>
      <c r="I85" s="208">
        <f>IFERROR(TEXT(MIN(100%,F85/MAX(1,G85)),"0%"),"-")</f>
        <v/>
      </c>
      <c r="J85" s="151" t="n"/>
      <c r="K85" s="151" t="n"/>
    </row>
    <row r="86" ht="16.5" customHeight="1" s="102">
      <c r="A86" s="141" t="n"/>
      <c r="B86" s="206" t="inlineStr">
        <is>
          <t>Não</t>
        </is>
      </c>
      <c r="C86" s="206">
        <f>IFERROR(TEXT(EDATE(TODAY(),18),"MMM/YYYY"),"---")</f>
        <v/>
      </c>
      <c r="D86" s="207">
        <f>IFERROR($C$58,0)</f>
        <v/>
      </c>
      <c r="E86" s="207">
        <f>IFERROR(IF(MONTH(EDATE(TODAY(),18))=12,$C$12*0.5,0),0)</f>
        <v/>
      </c>
      <c r="F86" s="207">
        <f>IFERROR(F85+IF(B86="Sim",D86+E86,0),0)</f>
        <v/>
      </c>
      <c r="G86" s="207">
        <f>IFERROR($C$49,$C$32)</f>
        <v/>
      </c>
      <c r="H86" s="206">
        <f>IFERROR(IF(F86&gt;=G86,"✅ ATINGIDA","⏳ EM CURSO"),"---")</f>
        <v/>
      </c>
      <c r="I86" s="206">
        <f>IFERROR(TEXT(MIN(100%,F86/MAX(1,G86)),"0%"),"-")</f>
        <v/>
      </c>
      <c r="J86" s="141" t="n"/>
      <c r="K86" s="141" t="n"/>
    </row>
    <row r="87" ht="16.5" customHeight="1" s="102">
      <c r="A87" s="151" t="n"/>
      <c r="B87" s="208" t="inlineStr">
        <is>
          <t>Não</t>
        </is>
      </c>
      <c r="C87" s="208">
        <f>IFERROR(TEXT(EDATE(TODAY(),19),"MMM/YYYY"),"---")</f>
        <v/>
      </c>
      <c r="D87" s="209">
        <f>IFERROR($C$58,0)</f>
        <v/>
      </c>
      <c r="E87" s="209">
        <f>IFERROR(IF(MONTH(EDATE(TODAY(),19))=12,$C$12*0.5,0),0)</f>
        <v/>
      </c>
      <c r="F87" s="209">
        <f>IFERROR(F86+IF(B87="Sim",D87+E87,0),0)</f>
        <v/>
      </c>
      <c r="G87" s="209">
        <f>IFERROR($C$49,$C$32)</f>
        <v/>
      </c>
      <c r="H87" s="208">
        <f>IFERROR(IF(F87&gt;=G87,"✅ ATINGIDA","⏳ EM CURSO"),"---")</f>
        <v/>
      </c>
      <c r="I87" s="208">
        <f>IFERROR(TEXT(MIN(100%,F87/MAX(1,G87)),"0%"),"-")</f>
        <v/>
      </c>
      <c r="J87" s="151" t="n"/>
      <c r="K87" s="151" t="n"/>
    </row>
    <row r="88" ht="16.5" customHeight="1" s="102">
      <c r="A88" s="141" t="n"/>
      <c r="B88" s="206" t="inlineStr">
        <is>
          <t>Não</t>
        </is>
      </c>
      <c r="C88" s="206">
        <f>IFERROR(TEXT(EDATE(TODAY(),20),"MMM/YYYY"),"---")</f>
        <v/>
      </c>
      <c r="D88" s="207">
        <f>IFERROR($C$58,0)</f>
        <v/>
      </c>
      <c r="E88" s="207">
        <f>IFERROR(IF(MONTH(EDATE(TODAY(),20))=12,$C$12*0.5,0),0)</f>
        <v/>
      </c>
      <c r="F88" s="207">
        <f>IFERROR(F87+IF(B88="Sim",D88+E88,0),0)</f>
        <v/>
      </c>
      <c r="G88" s="207">
        <f>IFERROR($C$49,$C$32)</f>
        <v/>
      </c>
      <c r="H88" s="206">
        <f>IFERROR(IF(F88&gt;=G88,"✅ ATINGIDA","⏳ EM CURSO"),"---")</f>
        <v/>
      </c>
      <c r="I88" s="206">
        <f>IFERROR(TEXT(MIN(100%,F88/MAX(1,G88)),"0%"),"-")</f>
        <v/>
      </c>
      <c r="J88" s="141" t="n"/>
      <c r="K88" s="141" t="n"/>
    </row>
    <row r="89" ht="16.5" customHeight="1" s="102">
      <c r="A89" s="151" t="n"/>
      <c r="B89" s="208" t="inlineStr">
        <is>
          <t>Não</t>
        </is>
      </c>
      <c r="C89" s="208">
        <f>IFERROR(TEXT(EDATE(TODAY(),21),"MMM/YYYY"),"---")</f>
        <v/>
      </c>
      <c r="D89" s="209">
        <f>IFERROR($C$58,0)</f>
        <v/>
      </c>
      <c r="E89" s="209">
        <f>IFERROR(IF(MONTH(EDATE(TODAY(),21))=12,$C$12*0.5,0),0)</f>
        <v/>
      </c>
      <c r="F89" s="209">
        <f>IFERROR(F88+IF(B89="Sim",D89+E89,0),0)</f>
        <v/>
      </c>
      <c r="G89" s="209">
        <f>IFERROR($C$49,$C$32)</f>
        <v/>
      </c>
      <c r="H89" s="208">
        <f>IFERROR(IF(F89&gt;=G89,"✅ ATINGIDA","⏳ EM CURSO"),"---")</f>
        <v/>
      </c>
      <c r="I89" s="208">
        <f>IFERROR(TEXT(MIN(100%,F89/MAX(1,G89)),"0%"),"-")</f>
        <v/>
      </c>
      <c r="J89" s="151" t="n"/>
      <c r="K89" s="151" t="n"/>
    </row>
    <row r="90" ht="16.5" customHeight="1" s="102">
      <c r="A90" s="141" t="n"/>
      <c r="B90" s="206" t="inlineStr">
        <is>
          <t>Não</t>
        </is>
      </c>
      <c r="C90" s="206">
        <f>IFERROR(TEXT(EDATE(TODAY(),22),"MMM/YYYY"),"---")</f>
        <v/>
      </c>
      <c r="D90" s="207">
        <f>IFERROR($C$58,0)</f>
        <v/>
      </c>
      <c r="E90" s="207">
        <f>IFERROR(IF(MONTH(EDATE(TODAY(),22))=12,$C$12*0.5,0),0)</f>
        <v/>
      </c>
      <c r="F90" s="207">
        <f>IFERROR(F89+IF(B90="Sim",D90+E90,0),0)</f>
        <v/>
      </c>
      <c r="G90" s="207">
        <f>IFERROR($C$49,$C$32)</f>
        <v/>
      </c>
      <c r="H90" s="206">
        <f>IFERROR(IF(F90&gt;=G90,"✅ ATINGIDA","⏳ EM CURSO"),"---")</f>
        <v/>
      </c>
      <c r="I90" s="206">
        <f>IFERROR(TEXT(MIN(100%,F90/MAX(1,G90)),"0%"),"-")</f>
        <v/>
      </c>
      <c r="J90" s="141" t="n"/>
      <c r="K90" s="141" t="n"/>
    </row>
    <row r="91" ht="16.5" customHeight="1" s="102">
      <c r="A91" s="151" t="n"/>
      <c r="B91" s="208" t="inlineStr">
        <is>
          <t>Não</t>
        </is>
      </c>
      <c r="C91" s="208">
        <f>IFERROR(TEXT(EDATE(TODAY(),23),"MMM/YYYY"),"---")</f>
        <v/>
      </c>
      <c r="D91" s="209">
        <f>IFERROR($C$58,0)</f>
        <v/>
      </c>
      <c r="E91" s="209">
        <f>IFERROR(IF(MONTH(EDATE(TODAY(),23))=12,$C$12*0.5,0),0)</f>
        <v/>
      </c>
      <c r="F91" s="209">
        <f>IFERROR(F90+IF(B91="Sim",D91+E91,0),0)</f>
        <v/>
      </c>
      <c r="G91" s="209">
        <f>IFERROR($C$49,$C$32)</f>
        <v/>
      </c>
      <c r="H91" s="208">
        <f>IFERROR(IF(F91&gt;=G91,"✅ ATINGIDA","⏳ EM CURSO"),"---")</f>
        <v/>
      </c>
      <c r="I91" s="208">
        <f>IFERROR(TEXT(MIN(100%,F91/MAX(1,G91)),"0%"),"-")</f>
        <v/>
      </c>
      <c r="J91" s="151" t="n"/>
      <c r="K91" s="151" t="n"/>
    </row>
    <row r="92" ht="16.5" customHeight="1" s="102">
      <c r="A92" s="141" t="n"/>
      <c r="B92" s="206" t="inlineStr">
        <is>
          <t>Não</t>
        </is>
      </c>
      <c r="C92" s="206">
        <f>IFERROR(TEXT(EDATE(TODAY(),24),"MMM/YYYY"),"---")</f>
        <v/>
      </c>
      <c r="D92" s="207">
        <f>IFERROR($C$58,0)</f>
        <v/>
      </c>
      <c r="E92" s="207">
        <f>IFERROR(IF(MONTH(EDATE(TODAY(),24))=12,$C$12*0.5,0),0)</f>
        <v/>
      </c>
      <c r="F92" s="207">
        <f>IFERROR(F91+IF(B92="Sim",D92+E92,0),0)</f>
        <v/>
      </c>
      <c r="G92" s="207">
        <f>IFERROR($C$49,$C$32)</f>
        <v/>
      </c>
      <c r="H92" s="206">
        <f>IFERROR(IF(F92&gt;=G92,"✅ ATINGIDA","⏳ EM CURSO"),"---")</f>
        <v/>
      </c>
      <c r="I92" s="206">
        <f>IFERROR(TEXT(MIN(100%,F92/MAX(1,G92)),"0%"),"-")</f>
        <v/>
      </c>
      <c r="J92" s="141" t="n"/>
      <c r="K92" s="141" t="n"/>
    </row>
    <row r="93" ht="16.5" customHeight="1" s="102">
      <c r="A93" s="151" t="n"/>
      <c r="B93" s="208" t="inlineStr">
        <is>
          <t>Não</t>
        </is>
      </c>
      <c r="C93" s="208">
        <f>IFERROR(TEXT(EDATE(TODAY(),25),"MMM/YYYY"),"---")</f>
        <v/>
      </c>
      <c r="D93" s="209">
        <f>IFERROR($C$58,0)</f>
        <v/>
      </c>
      <c r="E93" s="209">
        <f>IFERROR(IF(MONTH(EDATE(TODAY(),25))=12,$C$12*0.5,0),0)</f>
        <v/>
      </c>
      <c r="F93" s="209">
        <f>IFERROR(F92+IF(B93="Sim",D93+E93,0),0)</f>
        <v/>
      </c>
      <c r="G93" s="209">
        <f>IFERROR($C$49,$C$32)</f>
        <v/>
      </c>
      <c r="H93" s="208">
        <f>IFERROR(IF(F93&gt;=G93,"✅ ATINGIDA","⏳ EM CURSO"),"---")</f>
        <v/>
      </c>
      <c r="I93" s="208">
        <f>IFERROR(TEXT(MIN(100%,F93/MAX(1,G93)),"0%"),"-")</f>
        <v/>
      </c>
      <c r="J93" s="151" t="n"/>
      <c r="K93" s="151" t="n"/>
    </row>
    <row r="94" ht="16.5" customHeight="1" s="102">
      <c r="A94" s="141" t="n"/>
      <c r="B94" s="206" t="inlineStr">
        <is>
          <t>Não</t>
        </is>
      </c>
      <c r="C94" s="206">
        <f>IFERROR(TEXT(EDATE(TODAY(),26),"MMM/YYYY"),"---")</f>
        <v/>
      </c>
      <c r="D94" s="207">
        <f>IFERROR($C$58,0)</f>
        <v/>
      </c>
      <c r="E94" s="207">
        <f>IFERROR(IF(MONTH(EDATE(TODAY(),26))=12,$C$12*0.5,0),0)</f>
        <v/>
      </c>
      <c r="F94" s="207">
        <f>IFERROR(F93+IF(B94="Sim",D94+E94,0),0)</f>
        <v/>
      </c>
      <c r="G94" s="207">
        <f>IFERROR($C$49,$C$32)</f>
        <v/>
      </c>
      <c r="H94" s="206">
        <f>IFERROR(IF(F94&gt;=G94,"✅ ATINGIDA","⏳ EM CURSO"),"---")</f>
        <v/>
      </c>
      <c r="I94" s="206">
        <f>IFERROR(TEXT(MIN(100%,F94/MAX(1,G94)),"0%"),"-")</f>
        <v/>
      </c>
      <c r="J94" s="141" t="n"/>
      <c r="K94" s="141" t="n"/>
    </row>
    <row r="95" ht="16.5" customHeight="1" s="102">
      <c r="A95" s="151" t="n"/>
      <c r="B95" s="208" t="inlineStr">
        <is>
          <t>Não</t>
        </is>
      </c>
      <c r="C95" s="208">
        <f>IFERROR(TEXT(EDATE(TODAY(),27),"MMM/YYYY"),"---")</f>
        <v/>
      </c>
      <c r="D95" s="209">
        <f>IFERROR($C$58,0)</f>
        <v/>
      </c>
      <c r="E95" s="209">
        <f>IFERROR(IF(MONTH(EDATE(TODAY(),27))=12,$C$12*0.5,0),0)</f>
        <v/>
      </c>
      <c r="F95" s="209">
        <f>IFERROR(F94+IF(B95="Sim",D95+E95,0),0)</f>
        <v/>
      </c>
      <c r="G95" s="209">
        <f>IFERROR($C$49,$C$32)</f>
        <v/>
      </c>
      <c r="H95" s="208">
        <f>IFERROR(IF(F95&gt;=G95,"✅ ATINGIDA","⏳ EM CURSO"),"---")</f>
        <v/>
      </c>
      <c r="I95" s="208">
        <f>IFERROR(TEXT(MIN(100%,F95/MAX(1,G95)),"0%"),"-")</f>
        <v/>
      </c>
      <c r="J95" s="151" t="n"/>
      <c r="K95" s="151" t="n"/>
    </row>
    <row r="96" ht="16.5" customHeight="1" s="102">
      <c r="A96" s="141" t="n"/>
      <c r="B96" s="206" t="inlineStr">
        <is>
          <t>Não</t>
        </is>
      </c>
      <c r="C96" s="206">
        <f>IFERROR(TEXT(EDATE(TODAY(),28),"MMM/YYYY"),"---")</f>
        <v/>
      </c>
      <c r="D96" s="207">
        <f>IFERROR($C$58,0)</f>
        <v/>
      </c>
      <c r="E96" s="207">
        <f>IFERROR(IF(MONTH(EDATE(TODAY(),28))=12,$C$12*0.5,0),0)</f>
        <v/>
      </c>
      <c r="F96" s="207">
        <f>IFERROR(F95+IF(B96="Sim",D96+E96,0),0)</f>
        <v/>
      </c>
      <c r="G96" s="207">
        <f>IFERROR($C$49,$C$32)</f>
        <v/>
      </c>
      <c r="H96" s="206">
        <f>IFERROR(IF(F96&gt;=G96,"✅ ATINGIDA","⏳ EM CURSO"),"---")</f>
        <v/>
      </c>
      <c r="I96" s="206">
        <f>IFERROR(TEXT(MIN(100%,F96/MAX(1,G96)),"0%"),"-")</f>
        <v/>
      </c>
      <c r="J96" s="141" t="n"/>
      <c r="K96" s="141" t="n"/>
    </row>
    <row r="97" ht="16.5" customHeight="1" s="102">
      <c r="A97" s="151" t="n"/>
      <c r="B97" s="208" t="inlineStr">
        <is>
          <t>Não</t>
        </is>
      </c>
      <c r="C97" s="208">
        <f>IFERROR(TEXT(EDATE(TODAY(),29),"MMM/YYYY"),"---")</f>
        <v/>
      </c>
      <c r="D97" s="209">
        <f>IFERROR($C$58,0)</f>
        <v/>
      </c>
      <c r="E97" s="209">
        <f>IFERROR(IF(MONTH(EDATE(TODAY(),29))=12,$C$12*0.5,0),0)</f>
        <v/>
      </c>
      <c r="F97" s="209">
        <f>IFERROR(F96+IF(B97="Sim",D97+E97,0),0)</f>
        <v/>
      </c>
      <c r="G97" s="209">
        <f>IFERROR($C$49,$C$32)</f>
        <v/>
      </c>
      <c r="H97" s="208">
        <f>IFERROR(IF(F97&gt;=G97,"✅ ATINGIDA","⏳ EM CURSO"),"---")</f>
        <v/>
      </c>
      <c r="I97" s="208">
        <f>IFERROR(TEXT(MIN(100%,F97/MAX(1,G97)),"0%"),"-")</f>
        <v/>
      </c>
      <c r="J97" s="151" t="n"/>
      <c r="K97" s="151" t="n"/>
    </row>
    <row r="98" ht="16.5" customHeight="1" s="102">
      <c r="A98" s="141" t="n"/>
      <c r="B98" s="206" t="inlineStr">
        <is>
          <t>Não</t>
        </is>
      </c>
      <c r="C98" s="206">
        <f>IFERROR(TEXT(EDATE(TODAY(),30),"MMM/YYYY"),"---")</f>
        <v/>
      </c>
      <c r="D98" s="207">
        <f>IFERROR($C$58,0)</f>
        <v/>
      </c>
      <c r="E98" s="207">
        <f>IFERROR(IF(MONTH(EDATE(TODAY(),30))=12,$C$12*0.5,0),0)</f>
        <v/>
      </c>
      <c r="F98" s="207">
        <f>IFERROR(F97+IF(B98="Sim",D98+E98,0),0)</f>
        <v/>
      </c>
      <c r="G98" s="207">
        <f>IFERROR($C$49,$C$32)</f>
        <v/>
      </c>
      <c r="H98" s="206">
        <f>IFERROR(IF(F98&gt;=G98,"✅ ATINGIDA","⏳ EM CURSO"),"---")</f>
        <v/>
      </c>
      <c r="I98" s="206">
        <f>IFERROR(TEXT(MIN(100%,F98/MAX(1,G98)),"0%"),"-")</f>
        <v/>
      </c>
      <c r="J98" s="141" t="n"/>
      <c r="K98" s="141" t="n"/>
    </row>
    <row r="99" ht="16.5" customHeight="1" s="102">
      <c r="A99" s="151" t="n"/>
      <c r="B99" s="208" t="inlineStr">
        <is>
          <t>Não</t>
        </is>
      </c>
      <c r="C99" s="208">
        <f>IFERROR(TEXT(EDATE(TODAY(),31),"MMM/YYYY"),"---")</f>
        <v/>
      </c>
      <c r="D99" s="209">
        <f>IFERROR($C$58,0)</f>
        <v/>
      </c>
      <c r="E99" s="209">
        <f>IFERROR(IF(MONTH(EDATE(TODAY(),31))=12,$C$12*0.5,0),0)</f>
        <v/>
      </c>
      <c r="F99" s="209">
        <f>IFERROR(F98+IF(B99="Sim",D99+E99,0),0)</f>
        <v/>
      </c>
      <c r="G99" s="209">
        <f>IFERROR($C$49,$C$32)</f>
        <v/>
      </c>
      <c r="H99" s="208">
        <f>IFERROR(IF(F99&gt;=G99,"✅ ATINGIDA","⏳ EM CURSO"),"---")</f>
        <v/>
      </c>
      <c r="I99" s="208">
        <f>IFERROR(TEXT(MIN(100%,F99/MAX(1,G99)),"0%"),"-")</f>
        <v/>
      </c>
      <c r="J99" s="151" t="n"/>
      <c r="K99" s="151" t="n"/>
    </row>
    <row r="100" ht="16.5" customHeight="1" s="102">
      <c r="A100" s="141" t="n"/>
      <c r="B100" s="206" t="inlineStr">
        <is>
          <t>Não</t>
        </is>
      </c>
      <c r="C100" s="206">
        <f>IFERROR(TEXT(EDATE(TODAY(),32),"MMM/YYYY"),"---")</f>
        <v/>
      </c>
      <c r="D100" s="207">
        <f>IFERROR($C$58,0)</f>
        <v/>
      </c>
      <c r="E100" s="207">
        <f>IFERROR(IF(MONTH(EDATE(TODAY(),32))=12,$C$12*0.5,0),0)</f>
        <v/>
      </c>
      <c r="F100" s="207">
        <f>IFERROR(F99+IF(B100="Sim",D100+E100,0),0)</f>
        <v/>
      </c>
      <c r="G100" s="207">
        <f>IFERROR($C$49,$C$32)</f>
        <v/>
      </c>
      <c r="H100" s="206">
        <f>IFERROR(IF(F100&gt;=G100,"✅ ATINGIDA","⏳ EM CURSO"),"---")</f>
        <v/>
      </c>
      <c r="I100" s="206">
        <f>IFERROR(TEXT(MIN(100%,F100/MAX(1,G100)),"0%"),"-")</f>
        <v/>
      </c>
      <c r="J100" s="141" t="n"/>
      <c r="K100" s="141" t="n"/>
    </row>
    <row r="101" ht="16.5" customHeight="1" s="102">
      <c r="A101" s="151" t="n"/>
      <c r="B101" s="208" t="inlineStr">
        <is>
          <t>Não</t>
        </is>
      </c>
      <c r="C101" s="208">
        <f>IFERROR(TEXT(EDATE(TODAY(),33),"MMM/YYYY"),"---")</f>
        <v/>
      </c>
      <c r="D101" s="209">
        <f>IFERROR($C$58,0)</f>
        <v/>
      </c>
      <c r="E101" s="209">
        <f>IFERROR(IF(MONTH(EDATE(TODAY(),33))=12,$C$12*0.5,0),0)</f>
        <v/>
      </c>
      <c r="F101" s="209">
        <f>IFERROR(F100+IF(B101="Sim",D101+E101,0),0)</f>
        <v/>
      </c>
      <c r="G101" s="209">
        <f>IFERROR($C$49,$C$32)</f>
        <v/>
      </c>
      <c r="H101" s="208">
        <f>IFERROR(IF(F101&gt;=G101,"✅ ATINGIDA","⏳ EM CURSO"),"---")</f>
        <v/>
      </c>
      <c r="I101" s="208">
        <f>IFERROR(TEXT(MIN(100%,F101/MAX(1,G101)),"0%"),"-")</f>
        <v/>
      </c>
      <c r="J101" s="151" t="n"/>
      <c r="K101" s="151" t="n"/>
    </row>
    <row r="102" ht="16.5" customHeight="1" s="102">
      <c r="A102" s="141" t="n"/>
      <c r="B102" s="206" t="inlineStr">
        <is>
          <t>Não</t>
        </is>
      </c>
      <c r="C102" s="206">
        <f>IFERROR(TEXT(EDATE(TODAY(),34),"MMM/YYYY"),"---")</f>
        <v/>
      </c>
      <c r="D102" s="207">
        <f>IFERROR($C$58,0)</f>
        <v/>
      </c>
      <c r="E102" s="207">
        <f>IFERROR(IF(MONTH(EDATE(TODAY(),34))=12,$C$12*0.5,0),0)</f>
        <v/>
      </c>
      <c r="F102" s="207">
        <f>IFERROR(F101+IF(B102="Sim",D102+E102,0),0)</f>
        <v/>
      </c>
      <c r="G102" s="207">
        <f>IFERROR($C$49,$C$32)</f>
        <v/>
      </c>
      <c r="H102" s="206">
        <f>IFERROR(IF(F102&gt;=G102,"✅ ATINGIDA","⏳ EM CURSO"),"---")</f>
        <v/>
      </c>
      <c r="I102" s="206">
        <f>IFERROR(TEXT(MIN(100%,F102/MAX(1,G102)),"0%"),"-")</f>
        <v/>
      </c>
      <c r="J102" s="141" t="n"/>
      <c r="K102" s="141" t="n"/>
    </row>
    <row r="103" ht="16.5" customHeight="1" s="102">
      <c r="A103" s="151" t="n"/>
      <c r="B103" s="208" t="inlineStr">
        <is>
          <t>Não</t>
        </is>
      </c>
      <c r="C103" s="208">
        <f>IFERROR(TEXT(EDATE(TODAY(),35),"MMM/YYYY"),"---")</f>
        <v/>
      </c>
      <c r="D103" s="209">
        <f>IFERROR($C$58,0)</f>
        <v/>
      </c>
      <c r="E103" s="209">
        <f>IFERROR(IF(MONTH(EDATE(TODAY(),35))=12,$C$12*0.5,0),0)</f>
        <v/>
      </c>
      <c r="F103" s="209">
        <f>IFERROR(F102+IF(B103="Sim",D103+E103,0),0)</f>
        <v/>
      </c>
      <c r="G103" s="209">
        <f>IFERROR($C$49,$C$32)</f>
        <v/>
      </c>
      <c r="H103" s="208">
        <f>IFERROR(IF(F103&gt;=G103,"✅ ATINGIDA","⏳ EM CURSO"),"---")</f>
        <v/>
      </c>
      <c r="I103" s="208">
        <f>IFERROR(TEXT(MIN(100%,F103/MAX(1,G103)),"0%"),"-")</f>
        <v/>
      </c>
      <c r="J103" s="151" t="n"/>
      <c r="K103" s="151" t="n"/>
    </row>
    <row r="104" ht="7.5" customHeight="1" s="102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21.75" customHeight="1" s="102">
      <c r="A105" s="140" t="inlineStr">
        <is>
          <t xml:space="preserve">  📂  CHECKLIST DE DOCUMENTAÇÃO</t>
        </is>
      </c>
    </row>
    <row r="106" ht="15.75" customHeight="1" s="102">
      <c r="A106" s="147" t="n"/>
      <c r="B106" s="148" t="inlineStr">
        <is>
          <t>7. DOCUMENTOS NECESSÁRIOS PARA APROVAÇÃO</t>
        </is>
      </c>
      <c r="C106" s="147" t="n"/>
      <c r="D106" s="147" t="n"/>
      <c r="E106" s="147" t="n"/>
      <c r="F106" s="147" t="n"/>
      <c r="G106" s="147" t="n"/>
      <c r="H106" s="147" t="n"/>
      <c r="I106" s="147" t="n"/>
      <c r="J106" s="147" t="n"/>
      <c r="K106" s="147" t="n"/>
    </row>
    <row r="107" ht="18" customHeight="1" s="102">
      <c r="A107" s="204" t="n"/>
      <c r="B107" s="205" t="inlineStr">
        <is>
          <t>Documento / Tarefa</t>
        </is>
      </c>
      <c r="C107" s="205" t="inlineStr">
        <is>
          <t>Responsável</t>
        </is>
      </c>
      <c r="D107" s="205" t="inlineStr">
        <is>
          <t>✅ Concluído?</t>
        </is>
      </c>
      <c r="E107" s="205" t="inlineStr">
        <is>
          <t>📅 Prazo</t>
        </is>
      </c>
      <c r="F107" s="205" t="inlineStr">
        <is>
          <t>Observação</t>
        </is>
      </c>
      <c r="K107" s="139" t="n"/>
    </row>
    <row r="108" ht="18" customHeight="1" s="102">
      <c r="A108" s="141" t="n"/>
      <c r="B108" s="210" t="inlineStr">
        <is>
          <t>1. RG e CPF do Cliente</t>
        </is>
      </c>
      <c r="C108" s="211" t="inlineStr">
        <is>
          <t>Cliente</t>
        </is>
      </c>
      <c r="D108" s="212" t="inlineStr">
        <is>
          <t>Não</t>
        </is>
      </c>
      <c r="E108" s="213" t="n"/>
      <c r="F108" s="214" t="n"/>
      <c r="G108" s="215" t="n"/>
      <c r="H108" s="215" t="n"/>
      <c r="I108" s="215" t="n"/>
      <c r="J108" s="215" t="n"/>
      <c r="K108" s="139" t="n"/>
    </row>
    <row r="109" ht="18" customHeight="1" s="102">
      <c r="A109" s="151" t="n"/>
      <c r="B109" s="216" t="inlineStr">
        <is>
          <t>2. Certidão de Estado Civil</t>
        </is>
      </c>
      <c r="C109" s="217" t="inlineStr">
        <is>
          <t>Cliente</t>
        </is>
      </c>
      <c r="D109" s="212" t="inlineStr">
        <is>
          <t>Não</t>
        </is>
      </c>
      <c r="E109" s="218" t="n"/>
      <c r="F109" s="219" t="n"/>
      <c r="G109" s="215" t="n"/>
      <c r="H109" s="215" t="n"/>
      <c r="I109" s="215" t="n"/>
      <c r="J109" s="215" t="n"/>
      <c r="K109" s="139" t="n"/>
    </row>
    <row r="110" ht="18" customHeight="1" s="102">
      <c r="A110" s="141" t="n"/>
      <c r="B110" s="210" t="inlineStr">
        <is>
          <t>3. Comprovantes de Renda (3 meses)</t>
        </is>
      </c>
      <c r="C110" s="211" t="inlineStr">
        <is>
          <t>Cliente</t>
        </is>
      </c>
      <c r="D110" s="212" t="inlineStr">
        <is>
          <t>Não</t>
        </is>
      </c>
      <c r="E110" s="213" t="n"/>
      <c r="F110" s="214" t="n"/>
      <c r="G110" s="215" t="n"/>
      <c r="H110" s="215" t="n"/>
      <c r="I110" s="215" t="n"/>
      <c r="J110" s="215" t="n"/>
      <c r="K110" s="139" t="n"/>
    </row>
    <row r="111" ht="18" customHeight="1" s="102">
      <c r="A111" s="151" t="n"/>
      <c r="B111" s="216" t="inlineStr">
        <is>
          <t>4. Comprovante de Residência</t>
        </is>
      </c>
      <c r="C111" s="217" t="inlineStr">
        <is>
          <t>Cliente</t>
        </is>
      </c>
      <c r="D111" s="212" t="inlineStr">
        <is>
          <t>Não</t>
        </is>
      </c>
      <c r="E111" s="218" t="n"/>
      <c r="F111" s="219" t="n"/>
      <c r="G111" s="215" t="n"/>
      <c r="H111" s="215" t="n"/>
      <c r="I111" s="215" t="n"/>
      <c r="J111" s="215" t="n"/>
      <c r="K111" s="139" t="n"/>
    </row>
    <row r="112" ht="18" customHeight="1" s="102">
      <c r="A112" s="141" t="n"/>
      <c r="B112" s="210" t="inlineStr">
        <is>
          <t>5. Extrato FGTS Atualizado</t>
        </is>
      </c>
      <c r="C112" s="211" t="inlineStr">
        <is>
          <t>Cliente</t>
        </is>
      </c>
      <c r="D112" s="212" t="inlineStr">
        <is>
          <t>Não</t>
        </is>
      </c>
      <c r="E112" s="213" t="n"/>
      <c r="F112" s="214" t="n"/>
      <c r="G112" s="215" t="n"/>
      <c r="H112" s="215" t="n"/>
      <c r="I112" s="215" t="n"/>
      <c r="J112" s="215" t="n"/>
      <c r="K112" s="139" t="n"/>
    </row>
    <row r="113" ht="18" customHeight="1" s="102">
      <c r="A113" s="151" t="n"/>
      <c r="B113" s="216" t="inlineStr">
        <is>
          <t>6. Declaração IRPF + Recibo</t>
        </is>
      </c>
      <c r="C113" s="217" t="inlineStr">
        <is>
          <t>Cliente</t>
        </is>
      </c>
      <c r="D113" s="212" t="inlineStr">
        <is>
          <t>Não</t>
        </is>
      </c>
      <c r="E113" s="218" t="n"/>
      <c r="F113" s="219" t="n"/>
      <c r="G113" s="215" t="n"/>
      <c r="H113" s="215" t="n"/>
      <c r="I113" s="215" t="n"/>
      <c r="J113" s="215" t="n"/>
      <c r="K113" s="139" t="n"/>
    </row>
    <row r="114" ht="18" customHeight="1" s="102">
      <c r="A114" s="141" t="n"/>
      <c r="B114" s="210" t="inlineStr">
        <is>
          <t>7. Formulário de Proposta CAIXA</t>
        </is>
      </c>
      <c r="C114" s="211" t="inlineStr">
        <is>
          <t>Corretor</t>
        </is>
      </c>
      <c r="D114" s="212" t="inlineStr">
        <is>
          <t>Não</t>
        </is>
      </c>
      <c r="E114" s="213" t="n"/>
      <c r="F114" s="214" t="n"/>
      <c r="G114" s="215" t="n"/>
      <c r="H114" s="215" t="n"/>
      <c r="I114" s="215" t="n"/>
      <c r="J114" s="215" t="n"/>
      <c r="K114" s="139" t="n"/>
    </row>
    <row r="115" ht="18" customHeight="1" s="102">
      <c r="A115" s="151" t="n"/>
      <c r="B115" s="216" t="inlineStr">
        <is>
          <t>8. Protocolo CEV / Correspondente</t>
        </is>
      </c>
      <c r="C115" s="217" t="inlineStr">
        <is>
          <t>Correspondente</t>
        </is>
      </c>
      <c r="D115" s="212" t="inlineStr">
        <is>
          <t>Não</t>
        </is>
      </c>
      <c r="E115" s="218" t="n"/>
      <c r="F115" s="219" t="n"/>
      <c r="G115" s="215" t="n"/>
      <c r="H115" s="215" t="n"/>
      <c r="I115" s="215" t="n"/>
      <c r="J115" s="215" t="n"/>
      <c r="K115" s="139" t="n"/>
    </row>
    <row r="116" ht="15" customHeight="1" s="102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" customHeight="1" s="102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102">
      <c r="A118" s="220" t="inlineStr">
        <is>
          <t>💡 System Data — NÃO EDITE estas linhas (fonte dos VLOOKUPs)</t>
        </is>
      </c>
    </row>
    <row r="119" ht="15.75" customHeight="1" s="102">
      <c r="A119" s="221" t="inlineStr">
        <is>
          <t>ID</t>
        </is>
      </c>
      <c r="B119" s="221" t="inlineStr">
        <is>
          <t>Nome</t>
        </is>
      </c>
      <c r="C119" s="221" t="inlineStr">
        <is>
          <t>Preco</t>
        </is>
      </c>
      <c r="D119" s="221" t="inlineStr">
        <is>
          <t>Area</t>
        </is>
      </c>
      <c r="E119" s="221" t="inlineStr">
        <is>
          <t>Quartos</t>
        </is>
      </c>
      <c r="F119" s="221" t="inlineStr">
        <is>
          <t>Bairro</t>
        </is>
      </c>
      <c r="G119" s="221" t="inlineStr">
        <is>
          <t>Entrega</t>
        </is>
      </c>
      <c r="H119" s="221" t="inlineStr">
        <is>
          <t>Diferenciais</t>
        </is>
      </c>
      <c r="I119" s="221" t="inlineStr">
        <is>
          <t>Lazer</t>
        </is>
      </c>
      <c r="J119" s="221" t="inlineStr">
        <is>
          <t>Status_Obra</t>
        </is>
      </c>
      <c r="K119" s="221" t="inlineStr">
        <is>
          <t>Prazo_Meses</t>
        </is>
      </c>
    </row>
    <row r="120" ht="15" customHeight="1" s="102">
      <c r="A120" s="222" t="n">
        <v>1</v>
      </c>
      <c r="B120" s="223" t="inlineStr">
        <is>
          <t>Vivaz Penha 2</t>
        </is>
      </c>
      <c r="C120" s="223" t="n">
        <v>205000</v>
      </c>
      <c r="D120" s="223" t="inlineStr">
        <is>
          <t>De 24m² a 38m²</t>
        </is>
      </c>
      <c r="E120" s="222" t="inlineStr">
        <is>
          <t>1 a 2</t>
        </is>
      </c>
      <c r="F120" s="223" t="inlineStr">
        <is>
          <t>Penha (Zona Leste)</t>
        </is>
      </c>
      <c r="G120" s="223" t="inlineStr">
        <is>
          <t>205mil</t>
        </is>
      </c>
      <c r="H120" s="223" t="n"/>
      <c r="I120" s="223" t="n"/>
      <c r="J120" s="222" t="inlineStr">
        <is>
          <t>Obra</t>
        </is>
      </c>
      <c r="K120" s="222" t="n">
        <v>24</v>
      </c>
    </row>
    <row r="121" ht="15" customHeight="1" s="102">
      <c r="A121" s="222" t="n">
        <v>2</v>
      </c>
      <c r="B121" s="223" t="inlineStr">
        <is>
          <t>Vivaz Freguesia do Ó</t>
        </is>
      </c>
      <c r="C121" s="223" t="n">
        <v>226000</v>
      </c>
      <c r="D121" s="223" t="inlineStr">
        <is>
          <t>De 24m² a 45m²</t>
        </is>
      </c>
      <c r="E121" s="222" t="inlineStr">
        <is>
          <t>1 a 2</t>
        </is>
      </c>
      <c r="F121" s="223" t="inlineStr">
        <is>
          <t>Freguesia (Zona Norte)</t>
        </is>
      </c>
      <c r="G121" s="223" t="inlineStr">
        <is>
          <t>226mil</t>
        </is>
      </c>
      <c r="H121" s="223" t="n"/>
      <c r="I121" s="223" t="n"/>
      <c r="J121" s="222" t="inlineStr">
        <is>
          <t>Obra</t>
        </is>
      </c>
      <c r="K121" s="222" t="n">
        <v>24</v>
      </c>
    </row>
    <row r="122" ht="15" customHeight="1" s="102">
      <c r="A122" s="222" t="n">
        <v>3</v>
      </c>
      <c r="B122" s="223" t="inlineStr">
        <is>
          <t>Vivaz Santo Amaro</t>
        </is>
      </c>
      <c r="C122" s="223" t="n">
        <v>218000</v>
      </c>
      <c r="D122" s="223" t="inlineStr">
        <is>
          <t>De 24m² a 40m²</t>
        </is>
      </c>
      <c r="E122" s="222" t="inlineStr">
        <is>
          <t>2 a 2</t>
        </is>
      </c>
      <c r="F122" s="223" t="inlineStr">
        <is>
          <t>Santo Amaro (Zona Sul)</t>
        </is>
      </c>
      <c r="G122" s="223" t="inlineStr">
        <is>
          <t>218mil</t>
        </is>
      </c>
      <c r="H122" s="223" t="n"/>
      <c r="I122" s="223" t="n"/>
      <c r="J122" s="222" t="inlineStr">
        <is>
          <t>Obra</t>
        </is>
      </c>
      <c r="K122" s="222" t="n">
        <v>24</v>
      </c>
    </row>
    <row r="123" ht="15" customHeight="1" s="102">
      <c r="A123" s="222" t="n">
        <v>4</v>
      </c>
      <c r="B123" s="223" t="inlineStr">
        <is>
          <t>Vivaz Estação Lapa</t>
        </is>
      </c>
      <c r="C123" s="223" t="n">
        <v>214000</v>
      </c>
      <c r="D123" s="223" t="inlineStr">
        <is>
          <t>De 24m² a 36m²</t>
        </is>
      </c>
      <c r="E123" s="222" t="inlineStr">
        <is>
          <t>1 a 2</t>
        </is>
      </c>
      <c r="F123" s="223" t="inlineStr">
        <is>
          <t>Lapa (Zona Oeste)</t>
        </is>
      </c>
      <c r="G123" s="223" t="inlineStr">
        <is>
          <t>214mil</t>
        </is>
      </c>
      <c r="H123" s="223" t="n"/>
      <c r="I123" s="223" t="n"/>
      <c r="J123" s="222" t="inlineStr">
        <is>
          <t>Obra</t>
        </is>
      </c>
      <c r="K123" s="222" t="n">
        <v>24</v>
      </c>
    </row>
    <row r="124" ht="15" customHeight="1" s="102">
      <c r="A124" s="222" t="n">
        <v>5</v>
      </c>
      <c r="B124" s="223" t="inlineStr">
        <is>
          <t>Grand Vivaz Penha</t>
        </is>
      </c>
      <c r="C124" s="223" t="n">
        <v>235000</v>
      </c>
      <c r="D124" s="223" t="inlineStr">
        <is>
          <t>De 24m² a 38m²</t>
        </is>
      </c>
      <c r="E124" s="222" t="inlineStr">
        <is>
          <t>1 a 2</t>
        </is>
      </c>
      <c r="F124" s="223" t="inlineStr">
        <is>
          <t>Penha (Zona Leste)</t>
        </is>
      </c>
      <c r="G124" s="223" t="inlineStr">
        <is>
          <t>235mil</t>
        </is>
      </c>
      <c r="H124" s="223" t="n"/>
      <c r="I124" s="223" t="n"/>
      <c r="J124" s="222" t="inlineStr">
        <is>
          <t>Obra</t>
        </is>
      </c>
      <c r="K124" s="222" t="n">
        <v>24</v>
      </c>
    </row>
    <row r="125" ht="15" customHeight="1" s="102">
      <c r="A125" s="222" t="n">
        <v>6</v>
      </c>
      <c r="B125" s="223" t="inlineStr">
        <is>
          <t>Grand Vivaz Estação Tamanduateí</t>
        </is>
      </c>
      <c r="C125" s="223" t="n">
        <v>217000</v>
      </c>
      <c r="D125" s="223" t="inlineStr">
        <is>
          <t>De 24m² a 36m²</t>
        </is>
      </c>
      <c r="E125" s="222" t="inlineStr">
        <is>
          <t>1 a 2</t>
        </is>
      </c>
      <c r="F125" s="223" t="inlineStr">
        <is>
          <t>Vila Prudente</t>
        </is>
      </c>
      <c r="G125" s="223" t="inlineStr">
        <is>
          <t>217mil</t>
        </is>
      </c>
      <c r="H125" s="223" t="n"/>
      <c r="I125" s="223" t="n"/>
      <c r="J125" s="222" t="inlineStr">
        <is>
          <t>Obra</t>
        </is>
      </c>
      <c r="K125" s="222" t="n">
        <v>24</v>
      </c>
    </row>
    <row r="126" ht="15" customHeight="1" s="102">
      <c r="A126" s="222" t="n">
        <v>7</v>
      </c>
      <c r="B126" s="223" t="inlineStr">
        <is>
          <t>Grand Vivaz Jardim França Paris</t>
        </is>
      </c>
      <c r="C126" s="223" t="n">
        <v>224000</v>
      </c>
      <c r="D126" s="223" t="inlineStr">
        <is>
          <t>De 24m² a 36m²</t>
        </is>
      </c>
      <c r="E126" s="222" t="inlineStr">
        <is>
          <t>1 a 2</t>
        </is>
      </c>
      <c r="F126" s="223" t="inlineStr">
        <is>
          <t>Jardim França</t>
        </is>
      </c>
      <c r="G126" s="223" t="inlineStr">
        <is>
          <t>224mil</t>
        </is>
      </c>
      <c r="H126" s="223" t="n"/>
      <c r="I126" s="223" t="n"/>
      <c r="J126" s="222" t="inlineStr">
        <is>
          <t>Obra</t>
        </is>
      </c>
      <c r="K126" s="222" t="n">
        <v>24</v>
      </c>
    </row>
    <row r="127" ht="15" customHeight="1" s="102">
      <c r="A127" s="222" t="n">
        <v>8</v>
      </c>
      <c r="B127" s="223" t="inlineStr">
        <is>
          <t>Vivaz Selection Santo Amaro</t>
        </is>
      </c>
      <c r="C127" s="223" t="n">
        <v>218000</v>
      </c>
      <c r="D127" s="223" t="inlineStr">
        <is>
          <t>De 24m² a 40m²</t>
        </is>
      </c>
      <c r="E127" s="222" t="inlineStr">
        <is>
          <t>1 a 2</t>
        </is>
      </c>
      <c r="F127" s="223" t="inlineStr">
        <is>
          <t>Santo Amaro</t>
        </is>
      </c>
      <c r="G127" s="223" t="inlineStr">
        <is>
          <t>218mil</t>
        </is>
      </c>
      <c r="H127" s="223" t="n"/>
      <c r="I127" s="223" t="n"/>
      <c r="J127" s="222" t="inlineStr">
        <is>
          <t>Obra</t>
        </is>
      </c>
      <c r="K127" s="222" t="n">
        <v>24</v>
      </c>
    </row>
    <row r="128" ht="15" customHeight="1" s="102">
      <c r="A128" s="222" t="n">
        <v>9</v>
      </c>
      <c r="B128" s="223" t="inlineStr">
        <is>
          <t>Vivaz Selection Laguna</t>
        </is>
      </c>
      <c r="C128" s="223" t="n">
        <v>235000</v>
      </c>
      <c r="D128" s="223" t="inlineStr">
        <is>
          <t>De 24m² a 36m²</t>
        </is>
      </c>
      <c r="E128" s="222" t="inlineStr">
        <is>
          <t>1 a 2</t>
        </is>
      </c>
      <c r="F128" s="223" t="inlineStr">
        <is>
          <t>Granja Julieta</t>
        </is>
      </c>
      <c r="G128" s="223" t="inlineStr">
        <is>
          <t>235mil</t>
        </is>
      </c>
      <c r="H128" s="223" t="n"/>
      <c r="I128" s="223" t="n"/>
      <c r="J128" s="222" t="inlineStr">
        <is>
          <t>Obra</t>
        </is>
      </c>
      <c r="K128" s="222" t="n">
        <v>24</v>
      </c>
    </row>
    <row r="129" ht="15" customHeight="1" s="102">
      <c r="A129" s="222" t="n">
        <v>10</v>
      </c>
      <c r="B129" s="223" t="inlineStr">
        <is>
          <t>Vivaz Estação Pirituba</t>
        </is>
      </c>
      <c r="C129" s="223" t="n">
        <v>235000</v>
      </c>
      <c r="D129" s="223" t="inlineStr">
        <is>
          <t>De 24m² a 36m²</t>
        </is>
      </c>
      <c r="E129" s="222" t="inlineStr">
        <is>
          <t>1 a 2</t>
        </is>
      </c>
      <c r="F129" s="223" t="inlineStr">
        <is>
          <t>Pirituba</t>
        </is>
      </c>
      <c r="G129" s="223" t="inlineStr">
        <is>
          <t>235mil</t>
        </is>
      </c>
      <c r="H129" s="223" t="n"/>
      <c r="I129" s="223" t="n"/>
      <c r="J129" s="222" t="inlineStr">
        <is>
          <t>Obra</t>
        </is>
      </c>
      <c r="K129" s="222" t="n">
        <v>24</v>
      </c>
    </row>
    <row r="130" ht="15" customHeight="1" s="102">
      <c r="A130" s="222" t="n">
        <v>11</v>
      </c>
      <c r="B130" s="223" t="inlineStr">
        <is>
          <t>Vivaz Parque João Dias</t>
        </is>
      </c>
      <c r="C130" s="223" t="n">
        <v>235000</v>
      </c>
      <c r="D130" s="223" t="inlineStr">
        <is>
          <t>De 24m² a 38m²</t>
        </is>
      </c>
      <c r="E130" s="222" t="inlineStr">
        <is>
          <t>1 a 2</t>
        </is>
      </c>
      <c r="F130" s="223" t="inlineStr">
        <is>
          <t>Santo Amaro</t>
        </is>
      </c>
      <c r="G130" s="223" t="inlineStr">
        <is>
          <t>235mil</t>
        </is>
      </c>
      <c r="H130" s="223" t="n"/>
      <c r="I130" s="223" t="n"/>
      <c r="J130" s="222" t="inlineStr">
        <is>
          <t>Obra</t>
        </is>
      </c>
      <c r="K130" s="222" t="n">
        <v>24</v>
      </c>
    </row>
    <row r="131" ht="15" customHeight="1" s="102">
      <c r="A131" s="222" t="n">
        <v>12</v>
      </c>
      <c r="B131" s="223" t="inlineStr">
        <is>
          <t>Vivaz Connection Adolfo Pinheiro</t>
        </is>
      </c>
      <c r="C131" s="223" t="n">
        <v>244000</v>
      </c>
      <c r="D131" s="223" t="inlineStr">
        <is>
          <t>De 24m² a 36m²</t>
        </is>
      </c>
      <c r="E131" s="222" t="inlineStr">
        <is>
          <t>1 a 2</t>
        </is>
      </c>
      <c r="F131" s="223" t="inlineStr">
        <is>
          <t>Santo Amaro</t>
        </is>
      </c>
      <c r="G131" s="223" t="inlineStr">
        <is>
          <t>244mil</t>
        </is>
      </c>
      <c r="H131" s="223" t="n"/>
      <c r="I131" s="223" t="n"/>
      <c r="J131" s="222" t="inlineStr">
        <is>
          <t>Obra</t>
        </is>
      </c>
      <c r="K131" s="222" t="n">
        <v>24</v>
      </c>
    </row>
    <row r="132" ht="15" customHeight="1" s="102">
      <c r="A132" s="222" t="n">
        <v>13</v>
      </c>
      <c r="B132" s="223" t="inlineStr">
        <is>
          <t>Vivaz Parque Freguesia do Ó</t>
        </is>
      </c>
      <c r="C132" s="223" t="n">
        <v>226000</v>
      </c>
      <c r="D132" s="223" t="inlineStr">
        <is>
          <t>De 24m² a 45m²</t>
        </is>
      </c>
      <c r="E132" s="222" t="inlineStr">
        <is>
          <t>1 a 2</t>
        </is>
      </c>
      <c r="F132" s="223" t="inlineStr">
        <is>
          <t>Freguesia do Ó</t>
        </is>
      </c>
      <c r="G132" s="223" t="inlineStr">
        <is>
          <t>226mil</t>
        </is>
      </c>
      <c r="H132" s="223" t="n"/>
      <c r="I132" s="223" t="n"/>
      <c r="J132" s="222" t="inlineStr">
        <is>
          <t>Obra</t>
        </is>
      </c>
      <c r="K132" s="222" t="n">
        <v>24</v>
      </c>
    </row>
    <row r="133" ht="15" customHeight="1" s="102">
      <c r="A133" s="222" t="n">
        <v>14</v>
      </c>
      <c r="B133" s="223" t="inlineStr">
        <is>
          <t>Vivaz Santa Marina</t>
        </is>
      </c>
      <c r="C133" s="223" t="n">
        <v>306000</v>
      </c>
      <c r="D133" s="223" t="inlineStr">
        <is>
          <t>De 31m² a 34m²</t>
        </is>
      </c>
      <c r="E133" s="222" t="inlineStr">
        <is>
          <t>2</t>
        </is>
      </c>
      <c r="F133" s="223" t="inlineStr">
        <is>
          <t>Água Branca</t>
        </is>
      </c>
      <c r="G133" s="223" t="inlineStr">
        <is>
          <t>306mil</t>
        </is>
      </c>
      <c r="H133" s="223" t="n"/>
      <c r="I133" s="223" t="n"/>
      <c r="J133" s="222" t="inlineStr">
        <is>
          <t>Obra</t>
        </is>
      </c>
      <c r="K133" s="222" t="n">
        <v>24</v>
      </c>
    </row>
    <row r="134" ht="15" customHeight="1" s="102">
      <c r="A134" s="222" t="n">
        <v>15</v>
      </c>
      <c r="B134" s="223" t="inlineStr">
        <is>
          <t>Vivaz Penha - Fase 3</t>
        </is>
      </c>
      <c r="C134" s="223" t="n">
        <v>235000</v>
      </c>
      <c r="D134" s="223" t="inlineStr">
        <is>
          <t>De 24m² a 38m²</t>
        </is>
      </c>
      <c r="E134" s="222" t="inlineStr">
        <is>
          <t>1 a 2</t>
        </is>
      </c>
      <c r="F134" s="223" t="inlineStr">
        <is>
          <t>Penha</t>
        </is>
      </c>
      <c r="G134" s="223" t="inlineStr">
        <is>
          <t>235mil</t>
        </is>
      </c>
      <c r="H134" s="223" t="n"/>
      <c r="I134" s="223" t="n"/>
      <c r="J134" s="222" t="inlineStr">
        <is>
          <t>Obra</t>
        </is>
      </c>
      <c r="K134" s="222" t="n">
        <v>24</v>
      </c>
    </row>
    <row r="135" ht="15" customHeight="1" s="102">
      <c r="A135" s="222" t="n">
        <v>16</v>
      </c>
      <c r="B135" s="223" t="inlineStr">
        <is>
          <t>Vivaz Connection Mooca</t>
        </is>
      </c>
      <c r="C135" s="223" t="n">
        <v>239000</v>
      </c>
      <c r="D135" s="223" t="inlineStr">
        <is>
          <t>24m²</t>
        </is>
      </c>
      <c r="E135" s="222" t="inlineStr">
        <is>
          <t>1 a 2</t>
        </is>
      </c>
      <c r="F135" s="223" t="inlineStr">
        <is>
          <t>Mooca</t>
        </is>
      </c>
      <c r="G135" s="223" t="inlineStr">
        <is>
          <t>239mil</t>
        </is>
      </c>
      <c r="H135" s="223" t="n"/>
      <c r="I135" s="223" t="n"/>
      <c r="J135" s="222" t="inlineStr">
        <is>
          <t>Obra</t>
        </is>
      </c>
      <c r="K135" s="222" t="n">
        <v>24</v>
      </c>
    </row>
    <row r="136" ht="15" customHeight="1" s="102">
      <c r="A136" s="222" t="n">
        <v>17</v>
      </c>
      <c r="B136" s="223" t="inlineStr">
        <is>
          <t>Vivaz Prime Voluntários da Pátria</t>
        </is>
      </c>
      <c r="C136" s="223" t="n">
        <v>523000</v>
      </c>
      <c r="D136" s="223" t="inlineStr">
        <is>
          <t>De 46m² a 61m²</t>
        </is>
      </c>
      <c r="E136" s="222" t="inlineStr">
        <is>
          <t>2 a 3</t>
        </is>
      </c>
      <c r="F136" s="223" t="inlineStr">
        <is>
          <t>Santana</t>
        </is>
      </c>
      <c r="G136" s="223" t="inlineStr">
        <is>
          <t>523mil</t>
        </is>
      </c>
      <c r="H136" s="223" t="n"/>
      <c r="I136" s="223" t="n"/>
      <c r="J136" s="222" t="inlineStr">
        <is>
          <t>Obra</t>
        </is>
      </c>
      <c r="K136" s="222" t="n">
        <v>24</v>
      </c>
    </row>
    <row r="137" ht="15" customHeight="1" s="102">
      <c r="A137" s="222" t="n">
        <v>18</v>
      </c>
      <c r="B137" s="223" t="inlineStr">
        <is>
          <t>Vivaz Estação Pirituba (1 e 2)</t>
        </is>
      </c>
      <c r="C137" s="223" t="n">
        <v>209000</v>
      </c>
      <c r="D137" s="223" t="inlineStr">
        <is>
          <t>De 24m² a 36m²</t>
        </is>
      </c>
      <c r="E137" s="222" t="inlineStr">
        <is>
          <t>1 a 2</t>
        </is>
      </c>
      <c r="F137" s="223" t="inlineStr">
        <is>
          <t>Pirituba</t>
        </is>
      </c>
      <c r="G137" s="223" t="inlineStr">
        <is>
          <t>209mil</t>
        </is>
      </c>
      <c r="H137" s="223" t="n"/>
      <c r="I137" s="223" t="n"/>
      <c r="J137" s="222" t="inlineStr">
        <is>
          <t>Obra</t>
        </is>
      </c>
      <c r="K137" s="222" t="n">
        <v>24</v>
      </c>
    </row>
    <row r="138" ht="15" customHeight="1" s="102">
      <c r="A138" s="222" t="n">
        <v>19</v>
      </c>
      <c r="B138" s="223" t="inlineStr">
        <is>
          <t>Vivaz Prime Vila Maria</t>
        </is>
      </c>
      <c r="C138" s="223" t="n">
        <v>525000</v>
      </c>
      <c r="D138" s="223" t="inlineStr">
        <is>
          <t>55m²</t>
        </is>
      </c>
      <c r="E138" s="222" t="inlineStr">
        <is>
          <t>2 a 3</t>
        </is>
      </c>
      <c r="F138" s="223" t="inlineStr">
        <is>
          <t>Vila Maria</t>
        </is>
      </c>
      <c r="G138" s="223" t="inlineStr">
        <is>
          <t>525mil</t>
        </is>
      </c>
      <c r="H138" s="223" t="n"/>
      <c r="I138" s="223" t="n"/>
      <c r="J138" s="222" t="inlineStr">
        <is>
          <t>Obra</t>
        </is>
      </c>
      <c r="K138" s="222" t="n">
        <v>24</v>
      </c>
    </row>
    <row r="139" ht="15" customHeight="1" s="102">
      <c r="A139" s="222" t="n">
        <v>20</v>
      </c>
      <c r="B139" s="223" t="inlineStr">
        <is>
          <t>Vivaz Prime Vila Prudente</t>
        </is>
      </c>
      <c r="C139" s="223" t="n">
        <v>537000</v>
      </c>
      <c r="D139" s="223" t="inlineStr">
        <is>
          <t>De 48m² a 56m²</t>
        </is>
      </c>
      <c r="E139" s="222" t="inlineStr">
        <is>
          <t>2 a 3</t>
        </is>
      </c>
      <c r="F139" s="223" t="inlineStr">
        <is>
          <t>Vila Prudente</t>
        </is>
      </c>
      <c r="G139" s="223" t="inlineStr">
        <is>
          <t>537mil</t>
        </is>
      </c>
      <c r="H139" s="223" t="n"/>
      <c r="I139" s="223" t="n"/>
      <c r="J139" s="222" t="inlineStr">
        <is>
          <t>Obra</t>
        </is>
      </c>
      <c r="K139" s="222" t="n">
        <v>24</v>
      </c>
    </row>
    <row r="140" ht="15" customHeight="1" s="102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" customHeight="1" s="102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102">
      <c r="A142" s="224" t="inlineStr">
        <is>
          <t>Data_Extracao</t>
        </is>
      </c>
      <c r="B142" s="224" t="inlineStr">
        <is>
          <t>ID_Simulacao</t>
        </is>
      </c>
      <c r="C142" s="224" t="inlineStr">
        <is>
          <t>Cliente_Nome</t>
        </is>
      </c>
      <c r="D142" s="224" t="inlineStr">
        <is>
          <t>Cliente_Renda</t>
        </is>
      </c>
      <c r="E142" s="224" t="inlineStr">
        <is>
          <t>Cliente_FGTS</t>
        </is>
      </c>
      <c r="F142" s="224" t="inlineStr">
        <is>
          <t>Cliente_PoderCompra</t>
        </is>
      </c>
      <c r="G142" s="224" t="inlineStr">
        <is>
          <t>Imovel_Nome</t>
        </is>
      </c>
      <c r="H142" s="224" t="inlineStr">
        <is>
          <t>VLR_Parcela</t>
        </is>
      </c>
      <c r="I142" s="224" t="inlineStr">
        <is>
          <t>Score_Jornada</t>
        </is>
      </c>
      <c r="J142" s="224" t="inlineStr">
        <is>
          <t>Status_Analise</t>
        </is>
      </c>
      <c r="K142" s="151" t="n"/>
    </row>
    <row r="143" ht="15" customHeight="1" s="102">
      <c r="A143" s="225">
        <f>TODAY()</f>
        <v/>
      </c>
      <c r="B143" s="222" t="inlineStr">
        <is>
          <t>SIM-0001</t>
        </is>
      </c>
      <c r="C143" s="222">
        <f>D7</f>
        <v/>
      </c>
      <c r="D143" s="226">
        <f>C12</f>
        <v/>
      </c>
      <c r="E143" s="226">
        <f>C14</f>
        <v/>
      </c>
      <c r="F143" s="222">
        <f>C32</f>
        <v/>
      </c>
      <c r="G143" s="222">
        <f>D48</f>
        <v/>
      </c>
      <c r="H143" s="226">
        <f>H28</f>
        <v/>
      </c>
      <c r="I143" s="222">
        <f>H42</f>
        <v/>
      </c>
      <c r="J143" s="222">
        <f>H35</f>
        <v/>
      </c>
      <c r="K143" s="139" t="n"/>
    </row>
    <row r="144" ht="15" customHeight="1" s="102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4.5" customHeight="1" s="102">
      <c r="A145" s="135" t="n"/>
      <c r="B145" s="135" t="n"/>
      <c r="C145" s="135" t="n"/>
      <c r="D145" s="135" t="n"/>
      <c r="E145" s="135" t="n"/>
      <c r="F145" s="135" t="n"/>
      <c r="G145" s="135" t="n"/>
      <c r="H145" s="135" t="n"/>
      <c r="I145" s="135" t="n"/>
      <c r="J145" s="135" t="n"/>
      <c r="K145" s="135" t="n"/>
    </row>
    <row r="146" ht="18" customHeight="1" s="102">
      <c r="A146" s="227">
        <f>IFERROR("🤖 Simulação gerada por Algoritmo IA MT Parceiros  •  Gerado em "&amp;TEXT(TODAY(),"DD/MM/YYYY")&amp;"  •  mtparceiros.com.br","")</f>
        <v/>
      </c>
    </row>
    <row r="147" ht="15" customHeight="1" s="102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" customHeight="1" s="102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" customHeight="1" s="102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" customHeight="1" s="102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" customHeight="1" s="102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" customHeight="1" s="102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" customHeight="1" s="102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" customHeight="1" s="102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" customHeight="1" s="102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" customHeight="1" s="102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" customHeight="1" s="102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" customHeight="1" s="102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" customHeight="1" s="102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" customHeight="1" s="102">
      <c r="M160" s="134" t="inlineStr">
        <is>
          <t>Poder de Compra</t>
        </is>
      </c>
      <c r="N160" s="134" t="inlineStr">
        <is>
          <t>Valor do Imóvel</t>
        </is>
      </c>
    </row>
    <row r="161" ht="15" customHeight="1" s="102">
      <c r="M161" s="228">
        <f>IFERROR('MT Parceiros'!F32,0)</f>
        <v/>
      </c>
      <c r="N161" s="228">
        <f>IFERROR('MT Parceiros'!D49,0)</f>
        <v/>
      </c>
    </row>
    <row r="163" ht="15" customHeight="1" s="102">
      <c r="M163" s="134" t="inlineStr">
        <is>
          <t>Crédito CAIXA</t>
        </is>
      </c>
      <c r="N163" s="228">
        <f>IFERROR('MT Parceiros'!D27,0)</f>
        <v/>
      </c>
    </row>
    <row r="164" ht="15" customHeight="1" s="102">
      <c r="M164" s="134" t="inlineStr">
        <is>
          <t>Saldo FGTS</t>
        </is>
      </c>
      <c r="N164" s="228">
        <f>IFERROR('MT Parceiros'!C14,0)</f>
        <v/>
      </c>
    </row>
    <row r="165" ht="15" customHeight="1" s="102">
      <c r="M165" s="134" t="inlineStr">
        <is>
          <t>Entrada</t>
        </is>
      </c>
      <c r="N165" s="228">
        <f>IFERROR('MT Parceiros'!C13,0)</f>
        <v/>
      </c>
    </row>
    <row r="166" ht="15" customHeight="1" s="102">
      <c r="M166" s="134" t="inlineStr">
        <is>
          <t>Subsídio Federal</t>
        </is>
      </c>
      <c r="N166" s="228">
        <f>IFERROR('MT Parceiros'!D29,0)</f>
        <v/>
      </c>
    </row>
    <row r="167" ht="15" customHeight="1" s="102">
      <c r="M167" s="134" t="inlineStr">
        <is>
          <t>Subs. Casa Paulista</t>
        </is>
      </c>
      <c r="N167" s="228">
        <f>IFERROR('MT Parceiros'!D30,0)</f>
        <v/>
      </c>
    </row>
    <row r="170" ht="15" customHeight="1" s="102">
      <c r="M170" s="134" t="inlineStr">
        <is>
          <t>Mês</t>
        </is>
      </c>
      <c r="N170" s="134" t="inlineStr">
        <is>
          <t>Saldo Acumulado</t>
        </is>
      </c>
      <c r="O170" s="134" t="inlineStr">
        <is>
          <t>Meta</t>
        </is>
      </c>
    </row>
    <row r="171" ht="15" customHeight="1" s="102">
      <c r="M171" s="134">
        <f>IFERROR(TEXT(EDATE(TODAY(),0),"MMM"),"M1")</f>
        <v/>
      </c>
      <c r="N171" s="228">
        <f>IFERROR('MT Parceiros'!F68,0)</f>
        <v/>
      </c>
      <c r="O171" s="228">
        <f>IFERROR('MT Parceiros'!G68,0)</f>
        <v/>
      </c>
    </row>
    <row r="172" ht="15" customHeight="1" s="102">
      <c r="M172" s="134">
        <f>IFERROR(TEXT(EDATE(TODAY(),1),"MMM"),"M2")</f>
        <v/>
      </c>
      <c r="N172" s="228">
        <f>IFERROR('MT Parceiros'!F69,0)</f>
        <v/>
      </c>
      <c r="O172" s="228">
        <f>IFERROR('MT Parceiros'!G69,0)</f>
        <v/>
      </c>
    </row>
    <row r="173" ht="15" customHeight="1" s="102">
      <c r="M173" s="134">
        <f>IFERROR(TEXT(EDATE(TODAY(),2),"MMM"),"M3")</f>
        <v/>
      </c>
      <c r="N173" s="228">
        <f>IFERROR('MT Parceiros'!F70,0)</f>
        <v/>
      </c>
      <c r="O173" s="228">
        <f>IFERROR('MT Parceiros'!G70,0)</f>
        <v/>
      </c>
    </row>
    <row r="174" ht="15" customHeight="1" s="102">
      <c r="M174" s="134">
        <f>IFERROR(TEXT(EDATE(TODAY(),3),"MMM"),"M4")</f>
        <v/>
      </c>
      <c r="N174" s="228">
        <f>IFERROR('MT Parceiros'!F71,0)</f>
        <v/>
      </c>
      <c r="O174" s="228">
        <f>IFERROR('MT Parceiros'!G71,0)</f>
        <v/>
      </c>
    </row>
    <row r="175" ht="15" customHeight="1" s="102">
      <c r="M175" s="134">
        <f>IFERROR(TEXT(EDATE(TODAY(),4),"MMM"),"M5")</f>
        <v/>
      </c>
      <c r="N175" s="228">
        <f>IFERROR('MT Parceiros'!F72,0)</f>
        <v/>
      </c>
      <c r="O175" s="228">
        <f>IFERROR('MT Parceiros'!G72,0)</f>
        <v/>
      </c>
    </row>
    <row r="176" ht="15" customHeight="1" s="102">
      <c r="M176" s="134">
        <f>IFERROR(TEXT(EDATE(TODAY(),5),"MMM"),"M6")</f>
        <v/>
      </c>
      <c r="N176" s="228">
        <f>IFERROR('MT Parceiros'!F73,0)</f>
        <v/>
      </c>
      <c r="O176" s="228">
        <f>IFERROR('MT Parceiros'!G73,0)</f>
        <v/>
      </c>
    </row>
    <row r="177" ht="15" customHeight="1" s="102">
      <c r="M177" s="134">
        <f>IFERROR(TEXT(EDATE(TODAY(),6),"MMM"),"M7")</f>
        <v/>
      </c>
      <c r="N177" s="228">
        <f>IFERROR('MT Parceiros'!F74,0)</f>
        <v/>
      </c>
      <c r="O177" s="228">
        <f>IFERROR('MT Parceiros'!G74,0)</f>
        <v/>
      </c>
    </row>
    <row r="178" ht="15" customHeight="1" s="102">
      <c r="M178" s="134">
        <f>IFERROR(TEXT(EDATE(TODAY(),7),"MMM"),"M8")</f>
        <v/>
      </c>
      <c r="N178" s="228">
        <f>IFERROR('MT Parceiros'!F75,0)</f>
        <v/>
      </c>
      <c r="O178" s="228">
        <f>IFERROR('MT Parceiros'!G75,0)</f>
        <v/>
      </c>
    </row>
    <row r="179" ht="15" customHeight="1" s="102">
      <c r="M179" s="134">
        <f>IFERROR(TEXT(EDATE(TODAY(),8),"MMM"),"M9")</f>
        <v/>
      </c>
      <c r="N179" s="228">
        <f>IFERROR('MT Parceiros'!F76,0)</f>
        <v/>
      </c>
      <c r="O179" s="228">
        <f>IFERROR('MT Parceiros'!G76,0)</f>
        <v/>
      </c>
    </row>
    <row r="180" ht="15" customHeight="1" s="102">
      <c r="M180" s="134">
        <f>IFERROR(TEXT(EDATE(TODAY(),9),"MMM"),"M10")</f>
        <v/>
      </c>
      <c r="N180" s="228">
        <f>IFERROR('MT Parceiros'!F77,0)</f>
        <v/>
      </c>
      <c r="O180" s="228">
        <f>IFERROR('MT Parceiros'!G77,0)</f>
        <v/>
      </c>
    </row>
    <row r="181" ht="15" customHeight="1" s="102">
      <c r="M181" s="134">
        <f>IFERROR(TEXT(EDATE(TODAY(),10),"MMM"),"M11")</f>
        <v/>
      </c>
      <c r="N181" s="228">
        <f>IFERROR('MT Parceiros'!F78,0)</f>
        <v/>
      </c>
      <c r="O181" s="228">
        <f>IFERROR('MT Parceiros'!G78,0)</f>
        <v/>
      </c>
    </row>
    <row r="182" ht="15" customHeight="1" s="102">
      <c r="M182" s="134">
        <f>IFERROR(TEXT(EDATE(TODAY(),11),"MMM"),"M12")</f>
        <v/>
      </c>
      <c r="N182" s="228">
        <f>IFERROR('MT Parceiros'!F79,0)</f>
        <v/>
      </c>
      <c r="O182" s="228">
        <f>IFERROR('MT Parceiros'!G79,0)</f>
        <v/>
      </c>
    </row>
    <row r="185" ht="15" customHeight="1" s="102">
      <c r="M185" s="134" t="inlineStr">
        <is>
          <t>Score</t>
        </is>
      </c>
      <c r="N185" s="134" t="inlineStr">
        <is>
          <t>Restante</t>
        </is>
      </c>
      <c r="O185" s="134" t="inlineStr">
        <is>
          <t>Base</t>
        </is>
      </c>
    </row>
    <row r="186" ht="15" customHeight="1" s="102">
      <c r="M186" s="134">
        <f>IFERROR('MT Parceiros'!D43,0)</f>
        <v/>
      </c>
      <c r="N186" s="134">
        <f>IFERROR(100-'MT Parceiros'!D43,0)</f>
        <v/>
      </c>
      <c r="O186" s="134" t="n">
        <v>100</v>
      </c>
    </row>
  </sheetData>
  <mergeCells count="81">
    <mergeCell ref="D60:E60"/>
    <mergeCell ref="I32:K32"/>
    <mergeCell ref="B61:J61"/>
    <mergeCell ref="A24:K24"/>
    <mergeCell ref="F19:J19"/>
    <mergeCell ref="E64:F64"/>
    <mergeCell ref="H39:I39"/>
    <mergeCell ref="A54:K54"/>
    <mergeCell ref="D35:J35"/>
    <mergeCell ref="F18:J18"/>
    <mergeCell ref="F110:J110"/>
    <mergeCell ref="C7:E7"/>
    <mergeCell ref="F17:J17"/>
    <mergeCell ref="B38:C38"/>
    <mergeCell ref="F109:J109"/>
    <mergeCell ref="F2:K3"/>
    <mergeCell ref="H37:I37"/>
    <mergeCell ref="B40:C40"/>
    <mergeCell ref="D56:E56"/>
    <mergeCell ref="F111:J111"/>
    <mergeCell ref="D48:G48"/>
    <mergeCell ref="B66:J66"/>
    <mergeCell ref="D26:E26"/>
    <mergeCell ref="H64:J64"/>
    <mergeCell ref="A2:E3"/>
    <mergeCell ref="B32:E32"/>
    <mergeCell ref="F21:J21"/>
    <mergeCell ref="F113:J113"/>
    <mergeCell ref="F114:J114"/>
    <mergeCell ref="A46:K46"/>
    <mergeCell ref="A105:K105"/>
    <mergeCell ref="B37:C37"/>
    <mergeCell ref="D37:E37"/>
    <mergeCell ref="F22:J22"/>
    <mergeCell ref="F115:J115"/>
    <mergeCell ref="D39:E39"/>
    <mergeCell ref="F39:G39"/>
    <mergeCell ref="D29:E29"/>
    <mergeCell ref="D38:E38"/>
    <mergeCell ref="G8:I8"/>
    <mergeCell ref="A63:K63"/>
    <mergeCell ref="A10:K10"/>
    <mergeCell ref="F49:J49"/>
    <mergeCell ref="F14:J14"/>
    <mergeCell ref="A34:K34"/>
    <mergeCell ref="F29:J29"/>
    <mergeCell ref="H38:I38"/>
    <mergeCell ref="F112:J112"/>
    <mergeCell ref="F32:H32"/>
    <mergeCell ref="H40:I40"/>
    <mergeCell ref="B44:J44"/>
    <mergeCell ref="F15:J15"/>
    <mergeCell ref="F12:J12"/>
    <mergeCell ref="D49:E49"/>
    <mergeCell ref="D27:E27"/>
    <mergeCell ref="F26:J26"/>
    <mergeCell ref="F7:I7"/>
    <mergeCell ref="F27:J27"/>
    <mergeCell ref="D30:E30"/>
    <mergeCell ref="F57:J57"/>
    <mergeCell ref="F108:J108"/>
    <mergeCell ref="D40:E40"/>
    <mergeCell ref="F40:G40"/>
    <mergeCell ref="A146:K146"/>
    <mergeCell ref="B39:C39"/>
    <mergeCell ref="F30:J30"/>
    <mergeCell ref="F20:J20"/>
    <mergeCell ref="D57:E57"/>
    <mergeCell ref="B65:J65"/>
    <mergeCell ref="H48:J48"/>
    <mergeCell ref="A118:K118"/>
    <mergeCell ref="B64:D64"/>
    <mergeCell ref="F38:G38"/>
    <mergeCell ref="B36:J36"/>
    <mergeCell ref="D58:E58"/>
    <mergeCell ref="F13:J13"/>
    <mergeCell ref="A5:K5"/>
    <mergeCell ref="F37:G37"/>
    <mergeCell ref="F107:J107"/>
    <mergeCell ref="D50:E50"/>
    <mergeCell ref="D59:E59"/>
  </mergeCells>
  <printOptions horizontalCentered="0" verticalCentered="0" headings="0" gridLines="0" gridLinesSet="1"/>
  <pageMargins left="0.4" right="0.4" top="0.4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2026-04-04T18:01:20Z</dcterms:created>
  <dcterms:modified xsi:type="dcterms:W3CDTF">2026-04-08T13:14:21Z</dcterms:modified>
  <cp:revision>1</cp:revision>
</cp:coreProperties>
</file>